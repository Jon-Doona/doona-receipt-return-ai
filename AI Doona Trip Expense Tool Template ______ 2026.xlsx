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דוח נסיעה לחו&quot;ל " sheetId="1" r:id="rId5"/>
    <sheet state="visible" name="דוח החזר" sheetId="2" r:id="rId6"/>
    <sheet state="visible" name="RAW" sheetId="3" r:id="rId7"/>
    <sheet state="hidden" name="droplist" sheetId="4" r:id="rId8"/>
  </sheets>
  <definedNames>
    <definedName name="rate">'דוח החזר'!$K$4:$L$9</definedName>
    <definedName name="RATELI">'דוח החזר'!$G$4:$H$10</definedName>
    <definedName hidden="1" localSheetId="2" name="_xlnm._FilterDatabase">RAW!$A$1:$L$68</definedName>
  </definedNames>
  <calcPr/>
</workbook>
</file>

<file path=xl/sharedStrings.xml><?xml version="1.0" encoding="utf-8"?>
<sst xmlns="http://schemas.openxmlformats.org/spreadsheetml/2006/main" count="365" uniqueCount="86">
  <si>
    <t xml:space="preserve">דו"ח נסיעה לחו"ל </t>
  </si>
  <si>
    <t xml:space="preserve">שם החברה/העסק: </t>
  </si>
  <si>
    <t>שם הנוסע:</t>
  </si>
  <si>
    <t xml:space="preserve">תפקיד: </t>
  </si>
  <si>
    <t>מטרת הנסיעה:</t>
  </si>
  <si>
    <t>ימי שהייה עסקיים</t>
  </si>
  <si>
    <t>יעדי הנסיעה</t>
  </si>
  <si>
    <t>מ תאריך -</t>
  </si>
  <si>
    <t>עד תאריך</t>
  </si>
  <si>
    <t>סה"כ ימים</t>
  </si>
  <si>
    <t>סה"כ ימי שהייה בחו"ל:</t>
  </si>
  <si>
    <t>הוצאות עבור:</t>
  </si>
  <si>
    <t>סכום ההוצאה בשקלים</t>
  </si>
  <si>
    <t>סכום ההוצאה במט"ח</t>
  </si>
  <si>
    <t>טיסות</t>
  </si>
  <si>
    <t>נסיעות בתחבורה ציבורית</t>
  </si>
  <si>
    <t>לינה ללא ארוחות</t>
  </si>
  <si>
    <t>השכרת רכב</t>
  </si>
  <si>
    <t>אירוח אורחים בחול</t>
  </si>
  <si>
    <t>תקשורת</t>
  </si>
  <si>
    <t>ארוחות</t>
  </si>
  <si>
    <t>הוצאות שונות</t>
  </si>
  <si>
    <t>ללא קבלות</t>
  </si>
  <si>
    <t>סה"כ הוצאות</t>
  </si>
  <si>
    <t>דו"ח החזר הוצאות</t>
  </si>
  <si>
    <t>שנת הדו"ח:</t>
  </si>
  <si>
    <t>מטבע</t>
  </si>
  <si>
    <t>שער המרה</t>
  </si>
  <si>
    <t>טבלה ממויינת תמידית לVLOOKUP</t>
  </si>
  <si>
    <t>ILS</t>
  </si>
  <si>
    <t>RMB</t>
  </si>
  <si>
    <t>HKD</t>
  </si>
  <si>
    <t>שם + משפחה</t>
  </si>
  <si>
    <t>USD</t>
  </si>
  <si>
    <t>THB</t>
  </si>
  <si>
    <t>תפקיד</t>
  </si>
  <si>
    <t>CNY</t>
  </si>
  <si>
    <t>מדינה</t>
  </si>
  <si>
    <t>מטרת הנסיעה</t>
  </si>
  <si>
    <t>מיום</t>
  </si>
  <si>
    <t>עד יום</t>
  </si>
  <si>
    <t>הערות</t>
  </si>
  <si>
    <t>פרוט הוצאות</t>
  </si>
  <si>
    <t>תאריך</t>
  </si>
  <si>
    <t>יעדים</t>
  </si>
  <si>
    <t>סוג מטבע</t>
  </si>
  <si>
    <t>סכום</t>
  </si>
  <si>
    <t>בש"ח</t>
  </si>
  <si>
    <t>שולם ע"י (**)</t>
  </si>
  <si>
    <t>אסמכתא</t>
  </si>
  <si>
    <t>כ. אשראי חברה</t>
  </si>
  <si>
    <t>סה"כ בש"ח</t>
  </si>
  <si>
    <t xml:space="preserve">שולם על ידי </t>
  </si>
  <si>
    <t>העובד</t>
  </si>
  <si>
    <t>שולם ב</t>
  </si>
  <si>
    <t>סוג ההוצאה (מונית/רכבת/אוטובוס/השכרת רכב/דלק/חניה)</t>
  </si>
  <si>
    <t xml:space="preserve"> </t>
  </si>
  <si>
    <t xml:space="preserve">בש"ח </t>
  </si>
  <si>
    <t xml:space="preserve">  </t>
  </si>
  <si>
    <t>פירוט</t>
  </si>
  <si>
    <t>סוג ההוצאה</t>
  </si>
  <si>
    <t>סה"כ הוצאות עובד</t>
  </si>
  <si>
    <t>סה"כ הוצאות חברה</t>
  </si>
  <si>
    <t>סה"כ החזר לעובד</t>
  </si>
  <si>
    <t>date</t>
  </si>
  <si>
    <t>category</t>
  </si>
  <si>
    <t>amount</t>
  </si>
  <si>
    <t>currency</t>
  </si>
  <si>
    <t>description</t>
  </si>
  <si>
    <t>payment_method</t>
  </si>
  <si>
    <t>city</t>
  </si>
  <si>
    <t>country</t>
  </si>
  <si>
    <t>filename</t>
  </si>
  <si>
    <t>drive_url</t>
  </si>
  <si>
    <t>raw_text</t>
  </si>
  <si>
    <t>Suvarnabhumi McThai (McDonald's)</t>
  </si>
  <si>
    <t>https://drive.google.com/file/d/1adgbLjfOdnyEzlwc2hTAArNNei2L3ZIH/view?usp=drivesdk</t>
  </si>
  <si>
    <t>China Ride Hail</t>
  </si>
  <si>
    <t>https://drive.google.com/file/d/1p9D-Ts-Rq4oIypvl8MPNM5bdBIYWiAj-/view?usp=drivesdk</t>
  </si>
  <si>
    <t>China Jiajia Department Store</t>
  </si>
  <si>
    <t>https://drive.google.com/file/d/1sVHrneZaeaoV4BVhTd2XtP0xGD_NFBZi/view?usp=drivesdk</t>
  </si>
  <si>
    <t>Bangkok KOH HOP BAR ZONE F</t>
  </si>
  <si>
    <t>https://drive.google.com/file/d/1jHLu4JBhozeGPpIBob6GbR06Fu13P0Te/view?usp=drivesdk</t>
  </si>
  <si>
    <t>Guangzhou China Southern Airlines</t>
  </si>
  <si>
    <t>https://drive.google.com/file/d/1rCEMZOXZPqkBNyrctDHArxYFLnHHWJW7/view?usp=drivesdk</t>
  </si>
  <si>
    <t>New categories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</si>
</sst>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 &quot;₪&quot;\ * #,##0.00_ ;_ &quot;₪&quot;\ * \-#,##0.00_ ;_ &quot;₪&quot;\ * &quot;-&quot;??_ ;_ @_ "/>
    <numFmt numFmtId="165" formatCode="_-[$$-409]* #,##0.00_ ;_-[$$-409]* \-#,##0.00\ ;_-[$$-409]* &quot;-&quot;??_ ;_-@_ "/>
    <numFmt numFmtId="166" formatCode="_-&quot;₪&quot;* #,##0.00_-;\-&quot;₪&quot;* #,##0.00_-;_-&quot;₪&quot;* &quot;-&quot;??_-;_-@"/>
    <numFmt numFmtId="167" formatCode="dd/MM/yyyy"/>
    <numFmt numFmtId="168" formatCode="&quot;$&quot;#,##0.00"/>
    <numFmt numFmtId="169" formatCode="M/d/yyyy"/>
  </numFmts>
  <fonts count="18">
    <font>
      <sz val="11.0"/>
      <color theme="1"/>
      <name val="Calibri"/>
      <scheme val="minor"/>
    </font>
    <font>
      <sz val="14.0"/>
      <color theme="1"/>
      <name val="Calibri"/>
    </font>
    <font>
      <sz val="14.0"/>
      <color theme="1"/>
      <name val="Calibri"/>
      <scheme val="minor"/>
    </font>
    <font>
      <b/>
      <sz val="14.0"/>
      <color theme="1"/>
      <name val="Calibri"/>
    </font>
    <font>
      <b/>
      <u/>
      <sz val="14.0"/>
      <color theme="1"/>
      <name val="Calibri"/>
    </font>
    <font>
      <sz val="16.0"/>
      <color theme="1"/>
      <name val="Calibri"/>
    </font>
    <font>
      <b/>
      <u/>
      <sz val="16.0"/>
      <color theme="1"/>
      <name val="Calibri"/>
    </font>
    <font>
      <sz val="14.0"/>
      <color theme="1"/>
      <name val="Arial"/>
    </font>
    <font>
      <b/>
      <sz val="16.0"/>
      <color theme="1"/>
      <name val="Calibri"/>
    </font>
    <font>
      <u/>
      <sz val="16.0"/>
      <color rgb="FF0000FF"/>
      <name val="Calibri"/>
    </font>
    <font>
      <color theme="1"/>
      <name val="Calibri"/>
      <scheme val="minor"/>
    </font>
    <font/>
    <font>
      <u/>
      <sz val="16.0"/>
      <color theme="1"/>
      <name val="Calibri"/>
    </font>
    <font>
      <b/>
      <sz val="16.0"/>
      <color rgb="FFFF0000"/>
      <name val="Calibri"/>
    </font>
    <font>
      <sz val="16.0"/>
      <color rgb="FFFF0000"/>
      <name val="Calibri"/>
    </font>
    <font>
      <u/>
      <sz val="14.0"/>
      <color theme="1"/>
      <name val="Calibri"/>
    </font>
    <font>
      <u/>
      <sz val="14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5" fillId="0" fontId="1" numFmtId="1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14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3" fillId="0" fontId="1" numFmtId="164" xfId="0" applyAlignment="1" applyBorder="1" applyFont="1" applyNumberFormat="1">
      <alignment horizontal="center" vertical="center"/>
    </xf>
    <xf borderId="3" fillId="0" fontId="1" numFmtId="165" xfId="0" applyAlignment="1" applyBorder="1" applyFont="1" applyNumberFormat="1">
      <alignment horizontal="center" vertical="center"/>
    </xf>
    <xf borderId="0" fillId="0" fontId="1" numFmtId="166" xfId="0" applyFont="1" applyNumberFormat="1"/>
    <xf borderId="4" fillId="0" fontId="1" numFmtId="0" xfId="0" applyAlignment="1" applyBorder="1" applyFont="1">
      <alignment horizontal="center" readingOrder="0" vertical="center"/>
    </xf>
    <xf borderId="6" fillId="0" fontId="1" numFmtId="165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 readingOrder="0" vertical="center"/>
    </xf>
    <xf borderId="11" fillId="0" fontId="1" numFmtId="165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horizontal="center" readingOrder="0" vertical="center"/>
    </xf>
    <xf borderId="9" fillId="0" fontId="1" numFmtId="165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5" numFmtId="0" xfId="0" applyAlignment="1" applyFont="1">
      <alignment shrinkToFit="0" wrapText="0"/>
    </xf>
    <xf borderId="0" fillId="0" fontId="6" numFmtId="167" xfId="0" applyAlignment="1" applyFont="1" applyNumberFormat="1">
      <alignment horizontal="center" readingOrder="2" shrinkToFit="0" vertical="center" wrapText="0"/>
    </xf>
    <xf borderId="0" fillId="0" fontId="7" numFmtId="0" xfId="0" applyAlignment="1" applyFont="1">
      <alignment shrinkToFit="0" wrapText="0"/>
    </xf>
    <xf borderId="0" fillId="0" fontId="8" numFmtId="167" xfId="0" applyAlignment="1" applyFont="1" applyNumberFormat="1">
      <alignment horizontal="center" readingOrder="2" shrinkToFit="0" wrapText="0"/>
    </xf>
    <xf borderId="12" fillId="0" fontId="9" numFmtId="0" xfId="0" applyAlignment="1" applyBorder="1" applyFont="1">
      <alignment horizontal="center" shrinkToFit="0" wrapText="0"/>
    </xf>
    <xf borderId="0" fillId="0" fontId="5" numFmtId="167" xfId="0" applyAlignment="1" applyFont="1" applyNumberFormat="1">
      <alignment horizontal="right" readingOrder="2" shrinkToFit="0" wrapText="0"/>
    </xf>
    <xf borderId="13" fillId="0" fontId="5" numFmtId="0" xfId="0" applyAlignment="1" applyBorder="1" applyFont="1">
      <alignment horizontal="center" readingOrder="2" shrinkToFit="0" vertical="center" wrapText="0"/>
    </xf>
    <xf borderId="0" fillId="0" fontId="5" numFmtId="0" xfId="0" applyAlignment="1" applyFont="1">
      <alignment horizontal="center" shrinkToFit="0" wrapText="0"/>
    </xf>
    <xf borderId="1" fillId="2" fontId="5" numFmtId="0" xfId="0" applyAlignment="1" applyBorder="1" applyFill="1" applyFont="1">
      <alignment horizontal="center" readingOrder="0" shrinkToFit="0" vertical="center" wrapText="0"/>
    </xf>
    <xf borderId="3" fillId="2" fontId="5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wrapText="0"/>
    </xf>
    <xf borderId="0" fillId="0" fontId="10" numFmtId="0" xfId="0" applyAlignment="1" applyFont="1">
      <alignment shrinkToFit="0" wrapText="0"/>
    </xf>
    <xf borderId="0" fillId="0" fontId="5" numFmtId="167" xfId="0" applyAlignment="1" applyFont="1" applyNumberFormat="1">
      <alignment horizontal="left" readingOrder="2" shrinkToFit="0" wrapText="0"/>
    </xf>
    <xf borderId="14" fillId="3" fontId="8" numFmtId="0" xfId="0" applyAlignment="1" applyBorder="1" applyFill="1" applyFont="1">
      <alignment horizontal="center" shrinkToFit="0" wrapText="0"/>
    </xf>
    <xf borderId="1" fillId="3" fontId="5" numFmtId="0" xfId="0" applyAlignment="1" applyBorder="1" applyFont="1">
      <alignment horizontal="center" shrinkToFit="0" wrapText="0"/>
    </xf>
    <xf borderId="3" fillId="3" fontId="5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horizontal="center" shrinkToFit="0" wrapText="0"/>
    </xf>
    <xf borderId="2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3" fillId="3" fontId="5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center" shrinkToFit="0" wrapText="0"/>
    </xf>
    <xf borderId="5" fillId="0" fontId="5" numFmtId="0" xfId="0" applyAlignment="1" applyBorder="1" applyFont="1">
      <alignment horizontal="center" shrinkToFit="0" wrapText="0"/>
    </xf>
    <xf borderId="6" fillId="0" fontId="5" numFmtId="0" xfId="0" applyAlignment="1" applyBorder="1" applyFont="1">
      <alignment horizontal="center" shrinkToFit="0" wrapText="0"/>
    </xf>
    <xf borderId="15" fillId="3" fontId="5" numFmtId="0" xfId="0" applyAlignment="1" applyBorder="1" applyFont="1">
      <alignment horizontal="center" shrinkToFit="0" wrapText="0"/>
    </xf>
    <xf borderId="16" fillId="3" fontId="5" numFmtId="0" xfId="0" applyAlignment="1" applyBorder="1" applyFont="1">
      <alignment horizontal="center" shrinkToFit="0" wrapText="0"/>
    </xf>
    <xf borderId="17" fillId="3" fontId="5" numFmtId="0" xfId="0" applyAlignment="1" applyBorder="1" applyFont="1">
      <alignment horizontal="center" readingOrder="0" shrinkToFit="0" wrapText="0"/>
    </xf>
    <xf borderId="4" fillId="3" fontId="5" numFmtId="0" xfId="0" applyAlignment="1" applyBorder="1" applyFont="1">
      <alignment horizontal="center" shrinkToFit="0" wrapText="0"/>
    </xf>
    <xf borderId="6" fillId="3" fontId="5" numFmtId="0" xfId="0" applyAlignment="1" applyBorder="1" applyFont="1">
      <alignment horizontal="center" shrinkToFit="0" wrapText="0"/>
    </xf>
    <xf borderId="10" fillId="3" fontId="5" numFmtId="0" xfId="0" applyAlignment="1" applyBorder="1" applyFont="1">
      <alignment horizontal="center" readingOrder="0" shrinkToFit="0" wrapText="0"/>
    </xf>
    <xf borderId="18" fillId="3" fontId="5" numFmtId="0" xfId="0" applyAlignment="1" applyBorder="1" applyFont="1">
      <alignment horizontal="center" readingOrder="0" shrinkToFit="0" wrapText="0"/>
    </xf>
    <xf borderId="10" fillId="0" fontId="5" numFmtId="0" xfId="0" applyAlignment="1" applyBorder="1" applyFont="1">
      <alignment horizontal="center" shrinkToFit="0" wrapText="0"/>
    </xf>
    <xf borderId="19" fillId="0" fontId="5" numFmtId="0" xfId="0" applyAlignment="1" applyBorder="1" applyFont="1">
      <alignment horizontal="center" shrinkToFit="0" wrapText="0"/>
    </xf>
    <xf borderId="11" fillId="0" fontId="5" numFmtId="0" xfId="0" applyAlignment="1" applyBorder="1" applyFont="1">
      <alignment horizontal="center" shrinkToFit="0" wrapText="0"/>
    </xf>
    <xf borderId="7" fillId="3" fontId="5" numFmtId="0" xfId="0" applyAlignment="1" applyBorder="1" applyFont="1">
      <alignment horizontal="center" readingOrder="0" shrinkToFit="0" wrapText="0"/>
    </xf>
    <xf borderId="7" fillId="0" fontId="5" numFmtId="0" xfId="0" applyAlignment="1" applyBorder="1" applyFont="1">
      <alignment horizontal="center" shrinkToFit="0" wrapText="0"/>
    </xf>
    <xf borderId="8" fillId="0" fontId="5" numFmtId="0" xfId="0" applyAlignment="1" applyBorder="1" applyFont="1">
      <alignment horizontal="center" shrinkToFit="0" wrapText="0"/>
    </xf>
    <xf borderId="9" fillId="0" fontId="5" numFmtId="0" xfId="0" applyAlignment="1" applyBorder="1" applyFont="1">
      <alignment horizontal="center" shrinkToFit="0" wrapText="0"/>
    </xf>
    <xf borderId="0" fillId="0" fontId="5" numFmtId="167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20" fillId="4" fontId="8" numFmtId="167" xfId="0" applyAlignment="1" applyBorder="1" applyFill="1" applyFont="1" applyNumberFormat="1">
      <alignment horizontal="center" readingOrder="2" shrinkToFit="0" vertical="center" wrapText="0"/>
    </xf>
    <xf borderId="21" fillId="4" fontId="8" numFmtId="0" xfId="0" applyAlignment="1" applyBorder="1" applyFont="1">
      <alignment horizontal="center" readingOrder="2" shrinkToFit="0" vertical="center" wrapText="0"/>
    </xf>
    <xf borderId="22" fillId="4" fontId="8" numFmtId="0" xfId="0" applyAlignment="1" applyBorder="1" applyFont="1">
      <alignment horizontal="center" readingOrder="2" shrinkToFit="0" vertical="center" wrapText="0"/>
    </xf>
    <xf borderId="23" fillId="4" fontId="8" numFmtId="0" xfId="0" applyAlignment="1" applyBorder="1" applyFont="1">
      <alignment horizontal="center" readingOrder="0" shrinkToFit="0" vertical="center" wrapText="0"/>
    </xf>
    <xf borderId="24" fillId="0" fontId="11" numFmtId="0" xfId="0" applyBorder="1" applyFont="1"/>
    <xf borderId="25" fillId="0" fontId="5" numFmtId="0" xfId="0" applyAlignment="1" applyBorder="1" applyFont="1">
      <alignment horizontal="center" readingOrder="0" shrinkToFit="0" wrapText="0"/>
    </xf>
    <xf borderId="26" fillId="0" fontId="5" numFmtId="0" xfId="0" applyAlignment="1" applyBorder="1" applyFont="1">
      <alignment horizontal="center" readingOrder="0" shrinkToFit="0" wrapText="0"/>
    </xf>
    <xf borderId="27" fillId="0" fontId="5" numFmtId="14" xfId="0" applyAlignment="1" applyBorder="1" applyFont="1" applyNumberFormat="1">
      <alignment horizontal="center" readingOrder="0" shrinkToFit="0" wrapText="0"/>
    </xf>
    <xf borderId="27" fillId="0" fontId="5" numFmtId="0" xfId="0" applyAlignment="1" applyBorder="1" applyFont="1">
      <alignment horizontal="center" readingOrder="0" shrinkToFit="0" wrapText="0"/>
    </xf>
    <xf borderId="28" fillId="0" fontId="5" numFmtId="0" xfId="0" applyAlignment="1" applyBorder="1" applyFont="1">
      <alignment horizontal="right" shrinkToFit="0" wrapText="0"/>
    </xf>
    <xf borderId="29" fillId="0" fontId="11" numFmtId="0" xfId="0" applyBorder="1" applyFont="1"/>
    <xf borderId="7" fillId="0" fontId="5" numFmtId="167" xfId="0" applyAlignment="1" applyBorder="1" applyFont="1" applyNumberFormat="1">
      <alignment horizontal="right" shrinkToFit="0" wrapText="0"/>
    </xf>
    <xf borderId="30" fillId="0" fontId="5" numFmtId="0" xfId="0" applyAlignment="1" applyBorder="1" applyFont="1">
      <alignment horizontal="right" shrinkToFit="0" wrapText="0"/>
    </xf>
    <xf borderId="8" fillId="0" fontId="5" numFmtId="14" xfId="0" applyAlignment="1" applyBorder="1" applyFont="1" applyNumberFormat="1">
      <alignment horizontal="center" shrinkToFit="0" wrapText="0"/>
    </xf>
    <xf borderId="12" fillId="0" fontId="5" numFmtId="0" xfId="0" applyAlignment="1" applyBorder="1" applyFont="1">
      <alignment shrinkToFit="0" wrapText="0"/>
    </xf>
    <xf borderId="31" fillId="0" fontId="11" numFmtId="0" xfId="0" applyBorder="1" applyFont="1"/>
    <xf borderId="0" fillId="0" fontId="12" numFmtId="167" xfId="0" applyAlignment="1" applyFont="1" applyNumberFormat="1">
      <alignment horizontal="center" readingOrder="2" shrinkToFit="0" wrapText="0"/>
    </xf>
    <xf borderId="0" fillId="0" fontId="5" numFmtId="167" xfId="0" applyAlignment="1" applyFont="1" applyNumberFormat="1">
      <alignment horizontal="right" shrinkToFit="0" wrapText="0"/>
    </xf>
    <xf borderId="32" fillId="0" fontId="13" numFmtId="167" xfId="0" applyAlignment="1" applyBorder="1" applyFont="1" applyNumberFormat="1">
      <alignment horizontal="center" readingOrder="2" shrinkToFit="0" vertical="center" wrapText="0"/>
    </xf>
    <xf borderId="33" fillId="0" fontId="14" numFmtId="0" xfId="0" applyAlignment="1" applyBorder="1" applyFont="1">
      <alignment horizontal="center" readingOrder="2" shrinkToFit="0" vertical="center" wrapText="0"/>
    </xf>
    <xf borderId="34" fillId="0" fontId="14" numFmtId="0" xfId="0" applyAlignment="1" applyBorder="1" applyFont="1">
      <alignment horizontal="center" readingOrder="2" shrinkToFit="0" vertical="center" wrapText="0"/>
    </xf>
    <xf borderId="35" fillId="4" fontId="8" numFmtId="0" xfId="0" applyAlignment="1" applyBorder="1" applyFont="1">
      <alignment horizontal="center" readingOrder="0" shrinkToFit="0" vertical="center" wrapText="0"/>
    </xf>
    <xf borderId="32" fillId="0" fontId="13" numFmtId="0" xfId="0" applyAlignment="1" applyBorder="1" applyFont="1">
      <alignment horizontal="center" readingOrder="2" shrinkToFit="0" vertical="center" wrapText="0"/>
    </xf>
    <xf borderId="25" fillId="0" fontId="5" numFmtId="167" xfId="0" applyAlignment="1" applyBorder="1" applyFont="1" applyNumberFormat="1">
      <alignment horizontal="center" shrinkToFit="0" wrapText="0"/>
    </xf>
    <xf borderId="27" fillId="0" fontId="5" numFmtId="0" xfId="0" applyAlignment="1" applyBorder="1" applyFont="1">
      <alignment horizontal="center" readingOrder="0" shrinkToFit="0" wrapText="0"/>
    </xf>
    <xf borderId="27" fillId="0" fontId="5" numFmtId="0" xfId="0" applyAlignment="1" applyBorder="1" applyFont="1">
      <alignment horizontal="center" shrinkToFit="0" wrapText="0"/>
    </xf>
    <xf borderId="28" fillId="0" fontId="5" numFmtId="0" xfId="0" applyAlignment="1" applyBorder="1" applyFont="1">
      <alignment horizontal="center" shrinkToFit="0" wrapText="0"/>
    </xf>
    <xf borderId="27" fillId="0" fontId="5" numFmtId="164" xfId="0" applyAlignment="1" applyBorder="1" applyFont="1" applyNumberFormat="1">
      <alignment horizontal="center" shrinkToFit="0" wrapText="0"/>
    </xf>
    <xf borderId="36" fillId="0" fontId="5" numFmtId="0" xfId="0" applyAlignment="1" applyBorder="1" applyFont="1">
      <alignment horizontal="center" readingOrder="0" shrinkToFit="0" wrapText="0"/>
    </xf>
    <xf borderId="18" fillId="0" fontId="5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center" shrinkToFit="0" wrapText="0"/>
    </xf>
    <xf borderId="5" fillId="0" fontId="5" numFmtId="164" xfId="0" applyAlignment="1" applyBorder="1" applyFont="1" applyNumberFormat="1">
      <alignment horizontal="center" shrinkToFit="0" wrapText="0"/>
    </xf>
    <xf borderId="36" fillId="0" fontId="5" numFmtId="0" xfId="0" applyAlignment="1" applyBorder="1" applyFont="1">
      <alignment horizontal="center" shrinkToFit="0" wrapText="0"/>
    </xf>
    <xf borderId="7" fillId="0" fontId="5" numFmtId="167" xfId="0" applyAlignment="1" applyBorder="1" applyFont="1" applyNumberFormat="1">
      <alignment horizontal="center" shrinkToFit="0" wrapText="0"/>
    </xf>
    <xf borderId="8" fillId="0" fontId="5" numFmtId="0" xfId="0" applyAlignment="1" applyBorder="1" applyFont="1">
      <alignment horizontal="right" shrinkToFit="0" wrapText="0"/>
    </xf>
    <xf borderId="30" fillId="0" fontId="5" numFmtId="0" xfId="0" applyAlignment="1" applyBorder="1" applyFont="1">
      <alignment horizontal="center" shrinkToFit="0" wrapText="0"/>
    </xf>
    <xf borderId="8" fillId="0" fontId="5" numFmtId="164" xfId="0" applyAlignment="1" applyBorder="1" applyFont="1" applyNumberFormat="1">
      <alignment horizontal="center" shrinkToFit="0" wrapText="0"/>
    </xf>
    <xf borderId="37" fillId="0" fontId="5" numFmtId="0" xfId="0" applyAlignment="1" applyBorder="1" applyFont="1">
      <alignment horizontal="center" shrinkToFit="0" wrapText="0"/>
    </xf>
    <xf borderId="27" fillId="0" fontId="8" numFmtId="0" xfId="0" applyAlignment="1" applyBorder="1" applyFont="1">
      <alignment horizontal="right" readingOrder="0" shrinkToFit="0" wrapText="0"/>
    </xf>
    <xf borderId="27" fillId="0" fontId="8" numFmtId="164" xfId="0" applyAlignment="1" applyBorder="1" applyFont="1" applyNumberFormat="1">
      <alignment shrinkToFit="0" wrapText="0"/>
    </xf>
    <xf borderId="0" fillId="0" fontId="5" numFmtId="0" xfId="0" applyAlignment="1" applyFont="1">
      <alignment horizontal="left" readingOrder="0" shrinkToFit="0" wrapText="0"/>
    </xf>
    <xf borderId="0" fillId="0" fontId="8" numFmtId="0" xfId="0" applyAlignment="1" applyFont="1">
      <alignment horizontal="right" readingOrder="0" shrinkToFit="0" wrapText="0"/>
    </xf>
    <xf borderId="0" fillId="0" fontId="8" numFmtId="164" xfId="0" applyAlignment="1" applyFont="1" applyNumberFormat="1">
      <alignment shrinkToFit="0" wrapText="0"/>
    </xf>
    <xf borderId="0" fillId="0" fontId="5" numFmtId="0" xfId="0" applyAlignment="1" applyFont="1">
      <alignment horizontal="left" shrinkToFit="0" wrapText="0"/>
    </xf>
    <xf borderId="0" fillId="0" fontId="8" numFmtId="0" xfId="0" applyAlignment="1" applyFont="1">
      <alignment horizontal="right" shrinkToFit="0" wrapText="0"/>
    </xf>
    <xf borderId="38" fillId="0" fontId="13" numFmtId="167" xfId="0" applyAlignment="1" applyBorder="1" applyFont="1" applyNumberFormat="1">
      <alignment horizontal="right" readingOrder="2" shrinkToFit="0" vertical="center" wrapText="0"/>
    </xf>
    <xf borderId="39" fillId="0" fontId="14" numFmtId="0" xfId="0" applyAlignment="1" applyBorder="1" applyFont="1">
      <alignment horizontal="center" readingOrder="2" shrinkToFit="0" vertical="center" wrapText="0"/>
    </xf>
    <xf borderId="24" fillId="0" fontId="14" numFmtId="0" xfId="0" applyAlignment="1" applyBorder="1" applyFont="1">
      <alignment horizontal="center" readingOrder="2" shrinkToFit="0" vertical="center" wrapText="0"/>
    </xf>
    <xf borderId="40" fillId="4" fontId="8" numFmtId="167" xfId="0" applyAlignment="1" applyBorder="1" applyFont="1" applyNumberFormat="1">
      <alignment horizontal="center" readingOrder="0" shrinkToFit="0" wrapText="0"/>
    </xf>
    <xf borderId="41" fillId="4" fontId="8" numFmtId="0" xfId="0" applyAlignment="1" applyBorder="1" applyFont="1">
      <alignment horizontal="center" readingOrder="2" shrinkToFit="0" vertical="center" wrapText="0"/>
    </xf>
    <xf borderId="42" fillId="4" fontId="8" numFmtId="0" xfId="0" applyAlignment="1" applyBorder="1" applyFont="1">
      <alignment horizontal="center" readingOrder="0" shrinkToFit="0" vertical="center" wrapText="0"/>
    </xf>
    <xf borderId="38" fillId="0" fontId="13" numFmtId="0" xfId="0" applyAlignment="1" applyBorder="1" applyFont="1">
      <alignment horizontal="right" readingOrder="2" shrinkToFit="0" vertical="center" wrapText="0"/>
    </xf>
    <xf borderId="2" fillId="0" fontId="5" numFmtId="0" xfId="0" applyAlignment="1" applyBorder="1" applyFont="1">
      <alignment horizontal="center" readingOrder="0" shrinkToFit="0" wrapText="0"/>
    </xf>
    <xf borderId="2" fillId="0" fontId="5" numFmtId="0" xfId="0" applyAlignment="1" applyBorder="1" applyFont="1">
      <alignment horizontal="center" readingOrder="0" shrinkToFit="0" wrapText="0"/>
    </xf>
    <xf borderId="2" fillId="0" fontId="5" numFmtId="168" xfId="0" applyAlignment="1" applyBorder="1" applyFont="1" applyNumberFormat="1">
      <alignment horizontal="center" readingOrder="0" shrinkToFit="0" wrapText="0"/>
    </xf>
    <xf borderId="2" fillId="0" fontId="5" numFmtId="0" xfId="0" applyAlignment="1" applyBorder="1" applyFont="1">
      <alignment horizontal="center" readingOrder="0" shrinkToFit="0" wrapText="0"/>
    </xf>
    <xf borderId="3" fillId="0" fontId="5" numFmtId="0" xfId="0" applyAlignment="1" applyBorder="1" applyFont="1">
      <alignment horizontal="center" readingOrder="0" shrinkToFit="0" wrapText="0"/>
    </xf>
    <xf borderId="5" fillId="0" fontId="5" numFmtId="0" xfId="0" applyAlignment="1" applyBorder="1" applyFont="1">
      <alignment horizontal="center" readingOrder="0" shrinkToFit="0" wrapText="0"/>
    </xf>
    <xf borderId="5" fillId="0" fontId="5" numFmtId="0" xfId="0" applyAlignment="1" applyBorder="1" applyFont="1">
      <alignment horizontal="center" readingOrder="0" shrinkToFit="0" wrapText="0"/>
    </xf>
    <xf borderId="5" fillId="0" fontId="5" numFmtId="0" xfId="0" applyAlignment="1" applyBorder="1" applyFont="1">
      <alignment horizontal="center" readingOrder="0" shrinkToFit="0" wrapText="0"/>
    </xf>
    <xf borderId="4" fillId="0" fontId="5" numFmtId="167" xfId="0" applyAlignment="1" applyBorder="1" applyFont="1" applyNumberFormat="1">
      <alignment horizontal="center" readingOrder="0" shrinkToFit="0" wrapText="0"/>
    </xf>
    <xf borderId="25" fillId="0" fontId="5" numFmtId="167" xfId="0" applyAlignment="1" applyBorder="1" applyFont="1" applyNumberFormat="1">
      <alignment horizontal="center" readingOrder="0" shrinkToFit="0" wrapText="0"/>
    </xf>
    <xf borderId="27" fillId="0" fontId="5" numFmtId="0" xfId="0" applyAlignment="1" applyBorder="1" applyFont="1">
      <alignment horizontal="center" readingOrder="0" shrinkToFit="0" wrapText="0"/>
    </xf>
    <xf borderId="8" fillId="0" fontId="5" numFmtId="0" xfId="0" applyAlignment="1" applyBorder="1" applyFont="1">
      <alignment horizontal="center" readingOrder="0" shrinkToFit="0" wrapText="0"/>
    </xf>
    <xf borderId="8" fillId="0" fontId="5" numFmtId="0" xfId="0" applyAlignment="1" applyBorder="1" applyFont="1">
      <alignment horizontal="center" readingOrder="0" shrinkToFit="0" wrapText="0"/>
    </xf>
    <xf borderId="31" fillId="0" fontId="5" numFmtId="0" xfId="0" applyAlignment="1" applyBorder="1" applyFont="1">
      <alignment horizontal="center" shrinkToFit="0" wrapText="0"/>
    </xf>
    <xf borderId="4" fillId="3" fontId="5" numFmtId="167" xfId="0" applyAlignment="1" applyBorder="1" applyFont="1" applyNumberFormat="1">
      <alignment horizontal="center" readingOrder="0" shrinkToFit="0" wrapText="0"/>
    </xf>
    <xf borderId="8" fillId="3" fontId="5" numFmtId="0" xfId="0" applyAlignment="1" applyBorder="1" applyFont="1">
      <alignment horizontal="center" readingOrder="0" shrinkToFit="0" wrapText="0"/>
    </xf>
    <xf borderId="8" fillId="3" fontId="5" numFmtId="0" xfId="0" applyAlignment="1" applyBorder="1" applyFont="1">
      <alignment horizontal="center" readingOrder="0" shrinkToFit="0" wrapText="0"/>
    </xf>
    <xf borderId="8" fillId="3" fontId="5" numFmtId="164" xfId="0" applyAlignment="1" applyBorder="1" applyFont="1" applyNumberFormat="1">
      <alignment horizontal="center" shrinkToFit="0" wrapText="0"/>
    </xf>
    <xf borderId="9" fillId="3" fontId="5" numFmtId="0" xfId="0" applyAlignment="1" applyBorder="1" applyFont="1">
      <alignment horizontal="center" shrinkToFit="0" wrapText="0"/>
    </xf>
    <xf borderId="8" fillId="0" fontId="5" numFmtId="0" xfId="0" applyAlignment="1" applyBorder="1" applyFont="1">
      <alignment horizontal="center" shrinkToFit="0" vertical="bottom" wrapText="0"/>
    </xf>
    <xf borderId="8" fillId="0" fontId="5" numFmtId="164" xfId="0" applyAlignment="1" applyBorder="1" applyFont="1" applyNumberFormat="1">
      <alignment horizontal="center" shrinkToFit="0" vertical="bottom" wrapText="0"/>
    </xf>
    <xf borderId="9" fillId="0" fontId="5" numFmtId="0" xfId="0" applyAlignment="1" applyBorder="1" applyFont="1">
      <alignment horizontal="center" readingOrder="0" shrinkToFit="0" wrapText="0"/>
    </xf>
    <xf borderId="27" fillId="0" fontId="8" numFmtId="0" xfId="0" applyAlignment="1" applyBorder="1" applyFont="1">
      <alignment readingOrder="0" shrinkToFit="0" wrapText="0"/>
    </xf>
    <xf borderId="0" fillId="0" fontId="5" numFmtId="164" xfId="0" applyAlignment="1" applyFont="1" applyNumberFormat="1">
      <alignment shrinkToFit="0" wrapText="0"/>
    </xf>
    <xf borderId="38" fillId="0" fontId="13" numFmtId="167" xfId="0" applyAlignment="1" applyBorder="1" applyFont="1" applyNumberFormat="1">
      <alignment horizontal="center" readingOrder="2" shrinkToFit="0" vertical="center" wrapText="0"/>
    </xf>
    <xf borderId="40" fillId="4" fontId="8" numFmtId="167" xfId="0" applyAlignment="1" applyBorder="1" applyFont="1" applyNumberFormat="1">
      <alignment horizontal="center" readingOrder="2" shrinkToFit="0" vertical="center" wrapText="0"/>
    </xf>
    <xf borderId="32" fillId="0" fontId="13" numFmtId="0" xfId="0" applyAlignment="1" applyBorder="1" applyFont="1">
      <alignment horizontal="center" readingOrder="2" shrinkToFit="0" vertical="center" wrapText="0"/>
    </xf>
    <xf borderId="25" fillId="0" fontId="5" numFmtId="167" xfId="0" applyAlignment="1" applyBorder="1" applyFont="1" applyNumberFormat="1">
      <alignment horizontal="center" readingOrder="2" shrinkToFit="0" vertical="center" wrapText="0"/>
    </xf>
    <xf borderId="27" fillId="0" fontId="5" numFmtId="0" xfId="0" applyAlignment="1" applyBorder="1" applyFont="1">
      <alignment horizontal="center" readingOrder="2" shrinkToFit="0" vertical="center" wrapText="0"/>
    </xf>
    <xf borderId="43" fillId="4" fontId="5" numFmtId="0" xfId="0" applyAlignment="1" applyBorder="1" applyFont="1">
      <alignment horizontal="center" readingOrder="2" shrinkToFit="0" vertical="center" wrapText="0"/>
    </xf>
    <xf borderId="16" fillId="4" fontId="5" numFmtId="0" xfId="0" applyAlignment="1" applyBorder="1" applyFont="1">
      <alignment horizontal="center" shrinkToFit="0" vertical="center" wrapText="0"/>
    </xf>
    <xf borderId="4" fillId="0" fontId="5" numFmtId="167" xfId="0" applyAlignment="1" applyBorder="1" applyFont="1" applyNumberFormat="1">
      <alignment horizontal="center" readingOrder="2" shrinkToFit="0" vertical="center" wrapText="0"/>
    </xf>
    <xf borderId="5" fillId="0" fontId="5" numFmtId="0" xfId="0" applyAlignment="1" applyBorder="1" applyFont="1">
      <alignment horizontal="center" readingOrder="2" shrinkToFit="0" vertical="center" wrapText="0"/>
    </xf>
    <xf borderId="6" fillId="4" fontId="5" numFmtId="0" xfId="0" applyAlignment="1" applyBorder="1" applyFont="1">
      <alignment horizontal="center" shrinkToFit="0" vertical="center" wrapText="0"/>
    </xf>
    <xf borderId="4" fillId="0" fontId="5" numFmtId="167" xfId="0" applyAlignment="1" applyBorder="1" applyFont="1" applyNumberFormat="1">
      <alignment horizontal="center" shrinkToFit="0" wrapText="0"/>
    </xf>
    <xf borderId="20" fillId="4" fontId="8" numFmtId="167" xfId="0" applyAlignment="1" applyBorder="1" applyFont="1" applyNumberFormat="1">
      <alignment horizontal="center" readingOrder="0" shrinkToFit="0" wrapText="0"/>
    </xf>
    <xf borderId="8" fillId="0" fontId="5" numFmtId="0" xfId="0" applyAlignment="1" applyBorder="1" applyFont="1">
      <alignment horizontal="center" readingOrder="0" shrinkToFit="0" wrapText="0"/>
    </xf>
    <xf borderId="9" fillId="0" fontId="5" numFmtId="0" xfId="0" applyAlignment="1" applyBorder="1" applyFont="1">
      <alignment shrinkToFit="0" wrapText="0"/>
    </xf>
    <xf borderId="0" fillId="0" fontId="5" numFmtId="167" xfId="0" applyAlignment="1" applyFont="1" applyNumberFormat="1">
      <alignment horizontal="center" shrinkToFit="0" wrapText="0"/>
    </xf>
    <xf borderId="1" fillId="0" fontId="5" numFmtId="167" xfId="0" applyAlignment="1" applyBorder="1" applyFont="1" applyNumberFormat="1">
      <alignment horizontal="center" shrinkToFit="0" wrapText="0"/>
    </xf>
    <xf borderId="2" fillId="0" fontId="5" numFmtId="164" xfId="0" applyAlignment="1" applyBorder="1" applyFont="1" applyNumberFormat="1">
      <alignment horizontal="center" shrinkToFit="0" wrapText="0"/>
    </xf>
    <xf borderId="5" fillId="0" fontId="5" numFmtId="0" xfId="0" applyAlignment="1" applyBorder="1" applyFont="1">
      <alignment shrinkToFit="0" wrapText="0"/>
    </xf>
    <xf borderId="8" fillId="0" fontId="5" numFmtId="0" xfId="0" applyAlignment="1" applyBorder="1" applyFont="1">
      <alignment shrinkToFit="0" wrapText="0"/>
    </xf>
    <xf borderId="44" fillId="0" fontId="5" numFmtId="0" xfId="0" applyAlignment="1" applyBorder="1" applyFont="1">
      <alignment horizontal="center" shrinkToFit="0" wrapText="0"/>
    </xf>
    <xf borderId="45" fillId="0" fontId="5" numFmtId="0" xfId="0" applyAlignment="1" applyBorder="1" applyFont="1">
      <alignment horizontal="center" shrinkToFit="0" wrapText="0"/>
    </xf>
    <xf borderId="0" fillId="0" fontId="14" numFmtId="167" xfId="0" applyAlignment="1" applyFont="1" applyNumberFormat="1">
      <alignment horizontal="center" readingOrder="2" shrinkToFit="0" vertical="center" wrapText="0"/>
    </xf>
    <xf borderId="0" fillId="0" fontId="14" numFmtId="0" xfId="0" applyAlignment="1" applyFont="1">
      <alignment horizontal="center" readingOrder="2" shrinkToFit="0" vertical="center" wrapText="0"/>
    </xf>
    <xf borderId="20" fillId="4" fontId="8" numFmtId="167" xfId="0" applyAlignment="1" applyBorder="1" applyFont="1" applyNumberFormat="1">
      <alignment readingOrder="0" shrinkToFit="0" wrapText="0"/>
    </xf>
    <xf borderId="46" fillId="0" fontId="8" numFmtId="0" xfId="0" applyAlignment="1" applyBorder="1" applyFont="1">
      <alignment readingOrder="0" shrinkToFit="0" wrapText="0"/>
    </xf>
    <xf borderId="46" fillId="0" fontId="8" numFmtId="164" xfId="0" applyAlignment="1" applyBorder="1" applyFont="1" applyNumberFormat="1">
      <alignment shrinkToFit="0" wrapText="0"/>
    </xf>
    <xf borderId="32" fillId="0" fontId="5" numFmtId="167" xfId="0" applyAlignment="1" applyBorder="1" applyFont="1" applyNumberFormat="1">
      <alignment readingOrder="0" shrinkToFit="0" wrapText="0"/>
    </xf>
    <xf borderId="34" fillId="0" fontId="5" numFmtId="164" xfId="0" applyAlignment="1" applyBorder="1" applyFont="1" applyNumberFormat="1">
      <alignment shrinkToFit="0" wrapText="0"/>
    </xf>
    <xf borderId="4" fillId="0" fontId="5" numFmtId="167" xfId="0" applyAlignment="1" applyBorder="1" applyFont="1" applyNumberFormat="1">
      <alignment readingOrder="0" shrinkToFit="0" wrapText="0"/>
    </xf>
    <xf borderId="6" fillId="0" fontId="5" numFmtId="164" xfId="0" applyAlignment="1" applyBorder="1" applyFont="1" applyNumberFormat="1">
      <alignment shrinkToFit="0" wrapText="0"/>
    </xf>
    <xf borderId="47" fillId="0" fontId="8" numFmtId="167" xfId="0" applyAlignment="1" applyBorder="1" applyFont="1" applyNumberFormat="1">
      <alignment readingOrder="0" shrinkToFit="0" wrapText="0"/>
    </xf>
    <xf borderId="48" fillId="0" fontId="8" numFmtId="164" xfId="0" applyAlignment="1" applyBorder="1" applyFont="1" applyNumberFormat="1">
      <alignment shrinkToFit="0" wrapText="0"/>
    </xf>
    <xf borderId="0" fillId="0" fontId="1" numFmtId="0" xfId="0" applyAlignment="1" applyFont="1">
      <alignment shrinkToFit="0" wrapText="0"/>
    </xf>
    <xf borderId="5" fillId="5" fontId="1" numFmtId="169" xfId="0" applyBorder="1" applyFill="1" applyFont="1" applyNumberFormat="1"/>
    <xf borderId="5" fillId="5" fontId="1" numFmtId="0" xfId="0" applyAlignment="1" applyBorder="1" applyFont="1">
      <alignment horizontal="left"/>
    </xf>
    <xf borderId="5" fillId="5" fontId="1" numFmtId="0" xfId="0" applyAlignment="1" applyBorder="1" applyFont="1">
      <alignment horizontal="center"/>
    </xf>
    <xf borderId="5" fillId="5" fontId="1" numFmtId="0" xfId="0" applyBorder="1" applyFont="1"/>
    <xf borderId="5" fillId="5" fontId="1" numFmtId="0" xfId="0" applyAlignment="1" applyBorder="1" applyFont="1">
      <alignment horizontal="center" readingOrder="0"/>
    </xf>
    <xf borderId="5" fillId="5" fontId="1" numFmtId="169" xfId="0" applyAlignment="1" applyBorder="1" applyFont="1" applyNumberFormat="1">
      <alignment readingOrder="0"/>
    </xf>
    <xf borderId="5" fillId="5" fontId="1" numFmtId="0" xfId="0" applyAlignment="1" applyBorder="1" applyFont="1">
      <alignment horizontal="left" readingOrder="0"/>
    </xf>
    <xf borderId="5" fillId="5" fontId="1" numFmtId="0" xfId="0" applyAlignment="1" applyBorder="1" applyFont="1">
      <alignment horizontal="center" readingOrder="0"/>
    </xf>
    <xf borderId="5" fillId="5" fontId="1" numFmtId="0" xfId="0" applyAlignment="1" applyBorder="1" applyFont="1">
      <alignment readingOrder="0"/>
    </xf>
    <xf borderId="5" fillId="5" fontId="1" numFmtId="0" xfId="0" applyAlignment="1" applyBorder="1" applyFont="1">
      <alignment readingOrder="0"/>
    </xf>
    <xf borderId="5" fillId="5" fontId="15" numFmtId="0" xfId="0" applyAlignment="1" applyBorder="1" applyFont="1">
      <alignment readingOrder="0"/>
    </xf>
    <xf borderId="5" fillId="5" fontId="16" numFmtId="0" xfId="0" applyAlignment="1" applyBorder="1" applyFont="1">
      <alignment horizontal="center" readingOrder="0"/>
    </xf>
    <xf borderId="5" fillId="5" fontId="1" numFmtId="0" xfId="0" applyAlignment="1" applyBorder="1" applyFont="1">
      <alignment horizontal="center" readingOrder="0"/>
    </xf>
    <xf borderId="5" fillId="5" fontId="1" numFmtId="0" xfId="0" applyAlignment="1" applyBorder="1" applyFont="1">
      <alignment horizontal="left" readingOrder="0"/>
    </xf>
    <xf borderId="5" fillId="6" fontId="1" numFmtId="14" xfId="0" applyAlignment="1" applyBorder="1" applyFill="1" applyFont="1" applyNumberFormat="1">
      <alignment horizontal="right" vertical="bottom"/>
    </xf>
    <xf borderId="5" fillId="6" fontId="1" numFmtId="0" xfId="0" applyAlignment="1" applyBorder="1" applyFont="1">
      <alignment readingOrder="0" vertical="bottom"/>
    </xf>
    <xf borderId="5" fillId="6" fontId="1" numFmtId="0" xfId="0" applyAlignment="1" applyBorder="1" applyFont="1">
      <alignment horizontal="center" vertical="bottom"/>
    </xf>
    <xf borderId="5" fillId="6" fontId="1" numFmtId="0" xfId="0" applyAlignment="1" applyBorder="1" applyFont="1">
      <alignment vertical="bottom"/>
    </xf>
    <xf borderId="5" fillId="6" fontId="1" numFmtId="0" xfId="0" applyAlignment="1" applyBorder="1" applyFont="1">
      <alignment readingOrder="0" vertical="bottom"/>
    </xf>
    <xf borderId="5" fillId="6" fontId="17" numFmtId="0" xfId="0" applyAlignment="1" applyBorder="1" applyFont="1">
      <alignment vertical="bottom"/>
    </xf>
    <xf borderId="5" fillId="6" fontId="17" numFmtId="0" xfId="0" applyAlignment="1" applyBorder="1" applyFont="1">
      <alignment readingOrder="0" vertical="bottom"/>
    </xf>
    <xf borderId="5" fillId="5" fontId="17" numFmtId="0" xfId="0" applyAlignment="1" applyBorder="1" applyFont="1">
      <alignment horizontal="center"/>
    </xf>
    <xf borderId="5" fillId="6" fontId="1" numFmtId="0" xfId="0" applyAlignment="1" applyBorder="1" applyFont="1">
      <alignment horizontal="center" vertical="bottom"/>
    </xf>
    <xf borderId="5" fillId="6" fontId="1" numFmtId="14" xfId="0" applyAlignment="1" applyBorder="1" applyFont="1" applyNumberFormat="1">
      <alignment horizontal="right" readingOrder="0" vertical="bottom"/>
    </xf>
    <xf borderId="5" fillId="6" fontId="1" numFmtId="0" xfId="0" applyAlignment="1" applyBorder="1" applyFont="1">
      <alignment horizontal="center" readingOrder="0" vertical="bottom"/>
    </xf>
    <xf borderId="5" fillId="5" fontId="17" numFmtId="0" xfId="0" applyAlignment="1" applyBorder="1" applyFont="1">
      <alignment horizontal="left"/>
    </xf>
    <xf borderId="5" fillId="5" fontId="17" numFmtId="0" xfId="0" applyAlignment="1" applyBorder="1" applyFont="1">
      <alignment horizontal="center" readingOrder="0"/>
    </xf>
    <xf borderId="5" fillId="5" fontId="17" numFmtId="0" xfId="0" applyBorder="1" applyFont="1"/>
    <xf borderId="5" fillId="5" fontId="17" numFmtId="169" xfId="0" applyAlignment="1" applyBorder="1" applyFont="1" applyNumberFormat="1">
      <alignment readingOrder="0"/>
    </xf>
    <xf borderId="5" fillId="5" fontId="17" numFmtId="0" xfId="0" applyAlignment="1" applyBorder="1" applyFont="1">
      <alignment horizontal="left" readingOrder="0"/>
    </xf>
    <xf borderId="5" fillId="5" fontId="17" numFmtId="0" xfId="0" applyAlignment="1" applyBorder="1" applyFont="1">
      <alignment readingOrder="0"/>
    </xf>
    <xf borderId="5" fillId="5" fontId="17" numFmtId="0" xfId="0" applyAlignment="1" applyBorder="1" applyFont="1">
      <alignment horizontal="left" readingOrder="0"/>
    </xf>
    <xf borderId="5" fillId="5" fontId="17" numFmtId="169" xfId="0" applyBorder="1" applyFont="1" applyNumberFormat="1"/>
    <xf borderId="49" fillId="5" fontId="17" numFmtId="169" xfId="0" applyBorder="1" applyFont="1" applyNumberFormat="1"/>
    <xf borderId="49" fillId="5" fontId="17" numFmtId="0" xfId="0" applyAlignment="1" applyBorder="1" applyFont="1">
      <alignment horizontal="left"/>
    </xf>
    <xf borderId="49" fillId="5" fontId="17" numFmtId="0" xfId="0" applyAlignment="1" applyBorder="1" applyFont="1">
      <alignment horizontal="center"/>
    </xf>
    <xf borderId="49" fillId="5" fontId="17" numFmtId="0" xfId="0" applyBorder="1" applyFont="1"/>
    <xf borderId="0" fillId="0" fontId="17" numFmtId="169" xfId="0" applyFont="1" applyNumberFormat="1"/>
    <xf borderId="0" fillId="0" fontId="17" numFmtId="0" xfId="0" applyAlignment="1" applyFont="1">
      <alignment horizontal="left"/>
    </xf>
    <xf borderId="0" fillId="0" fontId="17" numFmtId="0" xfId="0" applyFont="1"/>
    <xf borderId="0" fillId="0" fontId="10" numFmtId="169" xfId="0" applyFont="1" applyNumberFormat="1"/>
    <xf borderId="0" fillId="0" fontId="17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dgbLjfOdnyEzlwc2hTAArNNei2L3ZIH/view?usp=drivesdk" TargetMode="External"/><Relationship Id="rId2" Type="http://schemas.openxmlformats.org/officeDocument/2006/relationships/hyperlink" Target="https://drive.google.com/file/d/1p9D-Ts-Rq4oIypvl8MPNM5bdBIYWiAj-/view?usp=drivesdk" TargetMode="External"/><Relationship Id="rId3" Type="http://schemas.openxmlformats.org/officeDocument/2006/relationships/hyperlink" Target="https://drive.google.com/file/d/1sVHrneZaeaoV4BVhTd2XtP0xGD_NFBZi/view?usp=drivesdk" TargetMode="External"/><Relationship Id="rId4" Type="http://schemas.openxmlformats.org/officeDocument/2006/relationships/hyperlink" Target="https://drive.google.com/file/d/1jHLu4JBhozeGPpIBob6GbR06Fu13P0Te/view?usp=drivesdk" TargetMode="External"/><Relationship Id="rId5" Type="http://schemas.openxmlformats.org/officeDocument/2006/relationships/hyperlink" Target="https://drive.google.com/file/d/1rCEMZOXZPqkBNyrctDHArxYFLnHHWJW7/view?usp=drivesdk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/>
  </sheetViews>
  <sheetFormatPr customHeight="1" defaultColWidth="14.43" defaultRowHeight="15.0"/>
  <cols>
    <col customWidth="1" min="1" max="1" width="28.14"/>
    <col customWidth="1" min="2" max="2" width="32.14"/>
    <col customWidth="1" min="3" max="3" width="26.29"/>
    <col customWidth="1" min="4" max="4" width="23.71"/>
    <col customWidth="1" min="5" max="5" width="12.71"/>
    <col customWidth="1" min="6" max="6" width="10.57"/>
  </cols>
  <sheetData>
    <row r="1">
      <c r="A1" s="1" t="s">
        <v>0</v>
      </c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2"/>
      <c r="B2" s="2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1" t="s">
        <v>1</v>
      </c>
      <c r="B3" s="1"/>
      <c r="C3" s="2"/>
      <c r="D3" s="2"/>
      <c r="E3" s="2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1" t="s">
        <v>2</v>
      </c>
      <c r="B4" s="5"/>
      <c r="C4" s="2"/>
      <c r="D4" s="2"/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" t="s">
        <v>3</v>
      </c>
      <c r="B5" s="5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" t="s">
        <v>4</v>
      </c>
      <c r="B6" s="5"/>
      <c r="C6" s="2"/>
      <c r="D6" s="2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2"/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2"/>
      <c r="B8" s="2"/>
      <c r="C8" s="1" t="s">
        <v>5</v>
      </c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2"/>
      <c r="B9" s="6" t="s">
        <v>6</v>
      </c>
      <c r="C9" s="7" t="s">
        <v>7</v>
      </c>
      <c r="D9" s="7" t="s">
        <v>8</v>
      </c>
      <c r="E9" s="8" t="s">
        <v>9</v>
      </c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">
        <v>1.0</v>
      </c>
      <c r="B10" s="9"/>
      <c r="C10" s="10" t="str">
        <f>'דוח החזר'!E12</f>
        <v/>
      </c>
      <c r="D10" s="10" t="str">
        <f>'דוח החזר'!F12</f>
        <v/>
      </c>
      <c r="E10" s="11" t="str">
        <f>'דוח החזר'!G12</f>
        <v/>
      </c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2">
        <v>2.0</v>
      </c>
      <c r="B11" s="12"/>
      <c r="C11" s="10"/>
      <c r="D11" s="10"/>
      <c r="E11" s="11" t="str">
        <f>'דוח החזר'!G13</f>
        <v/>
      </c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2">
        <v>3.0</v>
      </c>
      <c r="B12" s="13"/>
      <c r="C12" s="14"/>
      <c r="D12" s="14"/>
      <c r="E12" s="15" t="str">
        <f>'דוח החזר'!G14</f>
        <v/>
      </c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"/>
      <c r="B13" s="2"/>
      <c r="C13" s="2"/>
      <c r="D13" s="2"/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6" t="s">
        <v>10</v>
      </c>
      <c r="B14" s="17">
        <f>SUM(E10:E12)</f>
        <v>0</v>
      </c>
      <c r="C14" s="2"/>
      <c r="D14" s="2"/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2"/>
      <c r="B15" s="2"/>
      <c r="C15" s="2"/>
      <c r="D15" s="2"/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2"/>
      <c r="B16" s="2"/>
      <c r="C16" s="2"/>
      <c r="D16" s="2"/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2"/>
      <c r="B17" s="1" t="s">
        <v>11</v>
      </c>
      <c r="C17" s="1" t="s">
        <v>12</v>
      </c>
      <c r="D17" s="1" t="s">
        <v>13</v>
      </c>
      <c r="E17" s="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2"/>
      <c r="B18" s="6" t="s">
        <v>14</v>
      </c>
      <c r="C18" s="18" t="str">
        <f t="shared" ref="C18:C26" si="1">SUMIFS('Jonathan Zvi Shmuely – China – 2026-03-23'!G:G,'Jonathan Zvi Shmuely – China – 2026-03-23'!B:B,B18)</f>
        <v>#N/A</v>
      </c>
      <c r="D18" s="19" t="str">
        <f>C18/VLOOKUP("USD",RATELI,2,0)</f>
        <v>#N/A</v>
      </c>
      <c r="E18" s="2"/>
      <c r="F18" s="20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"/>
      <c r="B19" s="21" t="s">
        <v>15</v>
      </c>
      <c r="C19" s="18" t="str">
        <f t="shared" si="1"/>
        <v>#N/A</v>
      </c>
      <c r="D19" s="22" t="str">
        <f>C19/VLOOKUP("USD",RATELI,2,0)</f>
        <v>#N/A</v>
      </c>
      <c r="E19" s="4"/>
      <c r="F19" s="2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2"/>
      <c r="B20" s="21" t="s">
        <v>16</v>
      </c>
      <c r="C20" s="18" t="str">
        <f t="shared" si="1"/>
        <v>#N/A</v>
      </c>
      <c r="D20" s="22" t="str">
        <f>C20/VLOOKUP("USD",RATELI,2,0)</f>
        <v>#N/A</v>
      </c>
      <c r="E20" s="4"/>
      <c r="F20" s="20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2"/>
      <c r="B21" s="21" t="s">
        <v>17</v>
      </c>
      <c r="C21" s="18" t="str">
        <f t="shared" si="1"/>
        <v>#N/A</v>
      </c>
      <c r="D21" s="22" t="str">
        <f>C21/VLOOKUP("USD",RATELI,2,0)</f>
        <v>#N/A</v>
      </c>
      <c r="E21" s="4"/>
      <c r="F21" s="2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2"/>
      <c r="B22" s="21" t="s">
        <v>18</v>
      </c>
      <c r="C22" s="18" t="str">
        <f t="shared" si="1"/>
        <v>#N/A</v>
      </c>
      <c r="D22" s="22" t="str">
        <f>C22/VLOOKUP("USD",RATELI,2,0)</f>
        <v>#N/A</v>
      </c>
      <c r="E22" s="4"/>
      <c r="F22" s="20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2"/>
      <c r="B23" s="21" t="s">
        <v>19</v>
      </c>
      <c r="C23" s="18" t="str">
        <f t="shared" si="1"/>
        <v>#N/A</v>
      </c>
      <c r="D23" s="22" t="str">
        <f>C23/VLOOKUP("USD",RATELI,2,0)</f>
        <v>#N/A</v>
      </c>
      <c r="E23" s="4"/>
      <c r="F23" s="2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2"/>
      <c r="B24" s="23" t="s">
        <v>20</v>
      </c>
      <c r="C24" s="18" t="str">
        <f t="shared" si="1"/>
        <v>#N/A</v>
      </c>
      <c r="D24" s="22" t="str">
        <f>C24/VLOOKUP("USD",RATELI,2,0)</f>
        <v>#N/A</v>
      </c>
      <c r="E24" s="4"/>
      <c r="F24" s="20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2"/>
      <c r="B25" s="23" t="s">
        <v>21</v>
      </c>
      <c r="C25" s="18" t="str">
        <f t="shared" si="1"/>
        <v>#N/A</v>
      </c>
      <c r="D25" s="24" t="str">
        <f>C25/VLOOKUP("USD",RATELI,2,0)</f>
        <v>#N/A</v>
      </c>
      <c r="E25" s="4"/>
      <c r="F25" s="20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2"/>
      <c r="B26" s="25" t="s">
        <v>22</v>
      </c>
      <c r="C26" s="18" t="str">
        <f t="shared" si="1"/>
        <v>#N/A</v>
      </c>
      <c r="D26" s="26" t="str">
        <f>C26/VLOOKUP("USD",RATELI,2,0)</f>
        <v>#N/A</v>
      </c>
      <c r="E26" s="4"/>
      <c r="F26" s="2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2"/>
      <c r="B27" s="16" t="s">
        <v>23</v>
      </c>
      <c r="C27" s="27" t="str">
        <f t="shared" ref="C27:D27" si="2">SUM(C18:C26)</f>
        <v>#N/A</v>
      </c>
      <c r="D27" s="28" t="str">
        <f t="shared" si="2"/>
        <v>#N/A</v>
      </c>
      <c r="E27" s="2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U28" s="4"/>
      <c r="V28" s="4"/>
      <c r="W28" s="4"/>
      <c r="X28" s="4"/>
      <c r="Y28" s="4"/>
      <c r="Z28" s="4"/>
    </row>
    <row r="29" ht="14.25" customHeight="1">
      <c r="U29" s="4"/>
      <c r="V29" s="4"/>
      <c r="W29" s="4"/>
      <c r="X29" s="4"/>
      <c r="Y29" s="4"/>
      <c r="Z29" s="4"/>
    </row>
    <row r="30" ht="14.25" customHeight="1">
      <c r="U30" s="4"/>
      <c r="V30" s="4"/>
      <c r="W30" s="4"/>
      <c r="X30" s="4"/>
      <c r="Y30" s="4"/>
      <c r="Z30" s="4"/>
    </row>
    <row r="31" ht="14.25" customHeight="1">
      <c r="U31" s="4"/>
      <c r="V31" s="4"/>
      <c r="W31" s="4"/>
      <c r="X31" s="4"/>
      <c r="Y31" s="4"/>
      <c r="Z31" s="4"/>
    </row>
    <row r="32" ht="14.25" customHeight="1">
      <c r="U32" s="4"/>
      <c r="V32" s="4"/>
      <c r="W32" s="4"/>
      <c r="X32" s="4"/>
      <c r="Y32" s="4"/>
      <c r="Z32" s="4"/>
    </row>
    <row r="33" ht="14.25" customHeight="1">
      <c r="U33" s="4"/>
      <c r="V33" s="4"/>
      <c r="W33" s="4"/>
      <c r="X33" s="4"/>
      <c r="Y33" s="4"/>
      <c r="Z33" s="4"/>
    </row>
    <row r="34" ht="14.25" customHeight="1">
      <c r="U34" s="4"/>
      <c r="V34" s="4"/>
      <c r="W34" s="4"/>
      <c r="X34" s="4"/>
      <c r="Y34" s="4"/>
      <c r="Z34" s="4"/>
    </row>
    <row r="35" ht="14.25" customHeight="1">
      <c r="U35" s="4"/>
      <c r="V35" s="4"/>
      <c r="W35" s="4"/>
      <c r="X35" s="4"/>
      <c r="Y35" s="4"/>
      <c r="Z35" s="4"/>
    </row>
    <row r="36" ht="14.25" customHeight="1">
      <c r="U36" s="4"/>
      <c r="V36" s="4"/>
      <c r="W36" s="4"/>
      <c r="X36" s="4"/>
      <c r="Y36" s="4"/>
      <c r="Z36" s="4"/>
    </row>
    <row r="37" ht="14.25" customHeight="1">
      <c r="U37" s="4"/>
      <c r="V37" s="4"/>
      <c r="W37" s="4"/>
      <c r="X37" s="4"/>
      <c r="Y37" s="4"/>
      <c r="Z37" s="4"/>
    </row>
    <row r="38" ht="14.25" customHeight="1">
      <c r="U38" s="4"/>
      <c r="V38" s="4"/>
      <c r="W38" s="4"/>
      <c r="X38" s="4"/>
      <c r="Y38" s="4"/>
      <c r="Z38" s="4"/>
    </row>
    <row r="39" ht="14.25" customHeight="1">
      <c r="U39" s="4"/>
      <c r="V39" s="4"/>
      <c r="W39" s="4"/>
      <c r="X39" s="4"/>
      <c r="Y39" s="4"/>
      <c r="Z39" s="4"/>
    </row>
    <row r="40" ht="14.25" customHeight="1">
      <c r="U40" s="4"/>
      <c r="V40" s="4"/>
      <c r="W40" s="4"/>
      <c r="X40" s="4"/>
      <c r="Y40" s="4"/>
      <c r="Z40" s="4"/>
    </row>
    <row r="41" ht="14.25" customHeight="1">
      <c r="U41" s="4"/>
      <c r="V41" s="4"/>
      <c r="W41" s="4"/>
      <c r="X41" s="4"/>
      <c r="Y41" s="4"/>
      <c r="Z41" s="4"/>
    </row>
    <row r="42" ht="14.25" customHeight="1">
      <c r="U42" s="4"/>
      <c r="V42" s="4"/>
      <c r="W42" s="4"/>
      <c r="X42" s="4"/>
      <c r="Y42" s="4"/>
      <c r="Z42" s="4"/>
    </row>
    <row r="43" ht="14.25" customHeight="1">
      <c r="U43" s="4"/>
      <c r="V43" s="4"/>
      <c r="W43" s="4"/>
      <c r="X43" s="4"/>
      <c r="Y43" s="4"/>
      <c r="Z43" s="4"/>
    </row>
    <row r="44" ht="14.25" customHeight="1">
      <c r="U44" s="4"/>
      <c r="V44" s="4"/>
      <c r="W44" s="4"/>
      <c r="X44" s="4"/>
      <c r="Y44" s="4"/>
      <c r="Z44" s="4"/>
    </row>
    <row r="45" ht="14.25" customHeight="1">
      <c r="U45" s="4"/>
      <c r="V45" s="4"/>
      <c r="W45" s="4"/>
      <c r="X45" s="4"/>
      <c r="Y45" s="4"/>
      <c r="Z45" s="4"/>
    </row>
    <row r="46" ht="14.25" customHeight="1">
      <c r="U46" s="4"/>
      <c r="V46" s="4"/>
      <c r="W46" s="4"/>
      <c r="X46" s="4"/>
      <c r="Y46" s="4"/>
      <c r="Z46" s="4"/>
    </row>
    <row r="47" ht="14.25" customHeight="1">
      <c r="U47" s="4"/>
      <c r="V47" s="4"/>
      <c r="W47" s="4"/>
      <c r="X47" s="4"/>
      <c r="Y47" s="4"/>
      <c r="Z47" s="4"/>
    </row>
    <row r="48" ht="14.25" customHeight="1">
      <c r="U48" s="4"/>
      <c r="V48" s="4"/>
      <c r="W48" s="4"/>
      <c r="X48" s="4"/>
      <c r="Y48" s="4"/>
      <c r="Z48" s="4"/>
    </row>
    <row r="49" ht="14.25" customHeight="1">
      <c r="U49" s="4"/>
      <c r="V49" s="4"/>
      <c r="W49" s="4"/>
      <c r="X49" s="4"/>
      <c r="Y49" s="4"/>
      <c r="Z49" s="4"/>
    </row>
    <row r="50" ht="14.25" customHeight="1">
      <c r="U50" s="4"/>
      <c r="V50" s="4"/>
      <c r="W50" s="4"/>
      <c r="X50" s="4"/>
      <c r="Y50" s="4"/>
      <c r="Z50" s="4"/>
    </row>
    <row r="51" ht="14.25" customHeight="1">
      <c r="U51" s="4"/>
      <c r="V51" s="4"/>
      <c r="W51" s="4"/>
      <c r="X51" s="4"/>
      <c r="Y51" s="4"/>
      <c r="Z51" s="4"/>
    </row>
    <row r="52" ht="14.25" customHeight="1">
      <c r="U52" s="4"/>
      <c r="V52" s="4"/>
      <c r="W52" s="4"/>
      <c r="X52" s="4"/>
      <c r="Y52" s="4"/>
      <c r="Z52" s="4"/>
    </row>
    <row r="53" ht="15.75" customHeight="1">
      <c r="U53" s="4"/>
      <c r="V53" s="4"/>
      <c r="W53" s="4"/>
      <c r="X53" s="4"/>
      <c r="Y53" s="4"/>
      <c r="Z53" s="4"/>
    </row>
    <row r="54" ht="15.75" customHeight="1">
      <c r="U54" s="4"/>
      <c r="V54" s="4"/>
      <c r="W54" s="4"/>
      <c r="X54" s="4"/>
      <c r="Y54" s="4"/>
      <c r="Z54" s="4"/>
    </row>
    <row r="55" ht="15.75" customHeight="1">
      <c r="U55" s="4"/>
      <c r="V55" s="4"/>
      <c r="W55" s="4"/>
      <c r="X55" s="4"/>
      <c r="Y55" s="4"/>
      <c r="Z55" s="4"/>
    </row>
    <row r="56" ht="15.75" customHeight="1">
      <c r="U56" s="4"/>
      <c r="V56" s="4"/>
      <c r="W56" s="4"/>
      <c r="X56" s="4"/>
      <c r="Y56" s="4"/>
      <c r="Z56" s="4"/>
    </row>
    <row r="57" ht="15.75" customHeight="1">
      <c r="U57" s="4"/>
      <c r="V57" s="4"/>
      <c r="W57" s="4"/>
      <c r="X57" s="4"/>
      <c r="Y57" s="4"/>
      <c r="Z57" s="4"/>
    </row>
    <row r="58" ht="15.75" customHeight="1">
      <c r="U58" s="4"/>
      <c r="V58" s="4"/>
      <c r="W58" s="4"/>
      <c r="X58" s="4"/>
      <c r="Y58" s="4"/>
      <c r="Z58" s="4"/>
    </row>
    <row r="59" ht="15.75" customHeight="1">
      <c r="U59" s="4"/>
      <c r="V59" s="4"/>
      <c r="W59" s="4"/>
      <c r="X59" s="4"/>
      <c r="Y59" s="4"/>
      <c r="Z59" s="4"/>
    </row>
    <row r="60" ht="15.75" customHeight="1">
      <c r="U60" s="4"/>
      <c r="V60" s="4"/>
      <c r="W60" s="4"/>
      <c r="X60" s="4"/>
      <c r="Y60" s="4"/>
      <c r="Z60" s="4"/>
    </row>
    <row r="61" ht="15.75" customHeight="1">
      <c r="U61" s="4"/>
      <c r="V61" s="4"/>
      <c r="W61" s="4"/>
      <c r="X61" s="4"/>
      <c r="Y61" s="4"/>
      <c r="Z61" s="4"/>
    </row>
    <row r="62" ht="15.75" customHeight="1">
      <c r="U62" s="4"/>
      <c r="V62" s="4"/>
      <c r="W62" s="4"/>
      <c r="X62" s="4"/>
      <c r="Y62" s="4"/>
      <c r="Z62" s="4"/>
    </row>
    <row r="63" ht="15.75" customHeight="1">
      <c r="U63" s="4"/>
      <c r="V63" s="4"/>
      <c r="W63" s="4"/>
      <c r="X63" s="4"/>
      <c r="Y63" s="4"/>
      <c r="Z63" s="4"/>
    </row>
    <row r="64" ht="15.75" customHeight="1">
      <c r="U64" s="4"/>
      <c r="V64" s="4"/>
      <c r="W64" s="4"/>
      <c r="X64" s="4"/>
      <c r="Y64" s="4"/>
      <c r="Z64" s="4"/>
    </row>
    <row r="65" ht="15.75" customHeight="1">
      <c r="U65" s="4"/>
      <c r="V65" s="4"/>
      <c r="W65" s="4"/>
      <c r="X65" s="4"/>
      <c r="Y65" s="4"/>
      <c r="Z65" s="4"/>
    </row>
    <row r="66" ht="15.75" customHeight="1">
      <c r="U66" s="4"/>
      <c r="V66" s="4"/>
      <c r="W66" s="4"/>
      <c r="X66" s="4"/>
      <c r="Y66" s="4"/>
      <c r="Z66" s="4"/>
    </row>
    <row r="67" ht="15.75" customHeight="1">
      <c r="U67" s="4"/>
      <c r="V67" s="4"/>
      <c r="W67" s="4"/>
      <c r="X67" s="4"/>
      <c r="Y67" s="4"/>
      <c r="Z67" s="4"/>
    </row>
    <row r="68" ht="15.75" customHeight="1">
      <c r="U68" s="4"/>
      <c r="V68" s="4"/>
      <c r="W68" s="4"/>
      <c r="X68" s="4"/>
      <c r="Y68" s="4"/>
      <c r="Z68" s="4"/>
    </row>
    <row r="69" ht="15.75" customHeight="1">
      <c r="U69" s="4"/>
      <c r="V69" s="4"/>
      <c r="W69" s="4"/>
      <c r="X69" s="4"/>
      <c r="Y69" s="4"/>
      <c r="Z69" s="4"/>
    </row>
    <row r="70" ht="15.75" customHeight="1">
      <c r="U70" s="4"/>
      <c r="V70" s="4"/>
      <c r="W70" s="4"/>
      <c r="X70" s="4"/>
      <c r="Y70" s="4"/>
      <c r="Z70" s="4"/>
    </row>
    <row r="71" ht="15.75" customHeight="1">
      <c r="U71" s="4"/>
      <c r="V71" s="4"/>
      <c r="W71" s="4"/>
      <c r="X71" s="4"/>
      <c r="Y71" s="4"/>
      <c r="Z71" s="4"/>
    </row>
    <row r="72" ht="15.75" customHeight="1">
      <c r="U72" s="4"/>
      <c r="V72" s="4"/>
      <c r="W72" s="4"/>
      <c r="X72" s="4"/>
      <c r="Y72" s="4"/>
      <c r="Z72" s="4"/>
    </row>
    <row r="73" ht="15.75" customHeight="1">
      <c r="U73" s="4"/>
      <c r="V73" s="4"/>
      <c r="W73" s="4"/>
      <c r="X73" s="4"/>
      <c r="Y73" s="4"/>
      <c r="Z73" s="4"/>
    </row>
    <row r="74" ht="15.75" customHeight="1">
      <c r="U74" s="4"/>
      <c r="V74" s="4"/>
      <c r="W74" s="4"/>
      <c r="X74" s="4"/>
      <c r="Y74" s="4"/>
      <c r="Z74" s="4"/>
    </row>
    <row r="75" ht="15.75" customHeight="1">
      <c r="U75" s="4"/>
      <c r="V75" s="4"/>
      <c r="W75" s="4"/>
      <c r="X75" s="4"/>
      <c r="Y75" s="4"/>
      <c r="Z75" s="4"/>
    </row>
    <row r="76" ht="15.75" customHeight="1">
      <c r="U76" s="4"/>
      <c r="V76" s="4"/>
      <c r="W76" s="4"/>
      <c r="X76" s="4"/>
      <c r="Y76" s="4"/>
      <c r="Z76" s="4"/>
    </row>
    <row r="77" ht="15.75" customHeight="1">
      <c r="U77" s="4"/>
      <c r="V77" s="4"/>
      <c r="W77" s="4"/>
      <c r="X77" s="4"/>
      <c r="Y77" s="4"/>
      <c r="Z77" s="4"/>
    </row>
    <row r="78" ht="15.75" customHeight="1">
      <c r="U78" s="4"/>
      <c r="V78" s="4"/>
      <c r="W78" s="4"/>
      <c r="X78" s="4"/>
      <c r="Y78" s="4"/>
      <c r="Z78" s="4"/>
    </row>
    <row r="79" ht="15.75" customHeight="1">
      <c r="U79" s="4"/>
      <c r="V79" s="4"/>
      <c r="W79" s="4"/>
      <c r="X79" s="4"/>
      <c r="Y79" s="4"/>
      <c r="Z79" s="4"/>
    </row>
    <row r="80" ht="15.75" customHeight="1">
      <c r="U80" s="4"/>
      <c r="V80" s="4"/>
      <c r="W80" s="4"/>
      <c r="X80" s="4"/>
      <c r="Y80" s="4"/>
      <c r="Z80" s="4"/>
    </row>
    <row r="81" ht="15.75" customHeight="1">
      <c r="U81" s="4"/>
      <c r="V81" s="4"/>
      <c r="W81" s="4"/>
      <c r="X81" s="4"/>
      <c r="Y81" s="4"/>
      <c r="Z81" s="4"/>
    </row>
    <row r="82" ht="15.75" customHeight="1">
      <c r="U82" s="4"/>
      <c r="V82" s="4"/>
      <c r="W82" s="4"/>
      <c r="X82" s="4"/>
      <c r="Y82" s="4"/>
      <c r="Z82" s="4"/>
    </row>
    <row r="83" ht="15.75" customHeight="1">
      <c r="U83" s="4"/>
      <c r="V83" s="4"/>
      <c r="W83" s="4"/>
      <c r="X83" s="4"/>
      <c r="Y83" s="4"/>
      <c r="Z83" s="4"/>
    </row>
    <row r="84" ht="15.75" customHeight="1">
      <c r="U84" s="4"/>
      <c r="V84" s="4"/>
      <c r="W84" s="4"/>
      <c r="X84" s="4"/>
      <c r="Y84" s="4"/>
      <c r="Z84" s="4"/>
    </row>
    <row r="85" ht="15.75" customHeight="1">
      <c r="U85" s="4"/>
      <c r="V85" s="4"/>
      <c r="W85" s="4"/>
      <c r="X85" s="4"/>
      <c r="Y85" s="4"/>
      <c r="Z85" s="4"/>
    </row>
    <row r="86" ht="15.75" customHeight="1">
      <c r="U86" s="4"/>
      <c r="V86" s="4"/>
      <c r="W86" s="4"/>
      <c r="X86" s="4"/>
      <c r="Y86" s="4"/>
      <c r="Z86" s="4"/>
    </row>
    <row r="87" ht="15.75" customHeight="1">
      <c r="U87" s="4"/>
      <c r="V87" s="4"/>
      <c r="W87" s="4"/>
      <c r="X87" s="4"/>
      <c r="Y87" s="4"/>
      <c r="Z87" s="4"/>
    </row>
    <row r="88" ht="15.75" customHeight="1">
      <c r="U88" s="4"/>
      <c r="V88" s="4"/>
      <c r="W88" s="4"/>
      <c r="X88" s="4"/>
      <c r="Y88" s="4"/>
      <c r="Z88" s="4"/>
    </row>
    <row r="89" ht="15.75" customHeight="1">
      <c r="U89" s="4"/>
      <c r="V89" s="4"/>
      <c r="W89" s="4"/>
      <c r="X89" s="4"/>
      <c r="Y89" s="4"/>
      <c r="Z89" s="4"/>
    </row>
    <row r="90" ht="15.75" customHeight="1">
      <c r="U90" s="4"/>
      <c r="V90" s="4"/>
      <c r="W90" s="4"/>
      <c r="X90" s="4"/>
      <c r="Y90" s="4"/>
      <c r="Z90" s="4"/>
    </row>
    <row r="91" ht="15.75" customHeight="1">
      <c r="U91" s="4"/>
      <c r="V91" s="4"/>
      <c r="W91" s="4"/>
      <c r="X91" s="4"/>
      <c r="Y91" s="4"/>
      <c r="Z91" s="4"/>
    </row>
    <row r="92" ht="15.75" customHeight="1">
      <c r="U92" s="4"/>
      <c r="V92" s="4"/>
      <c r="W92" s="4"/>
      <c r="X92" s="4"/>
      <c r="Y92" s="4"/>
      <c r="Z92" s="4"/>
    </row>
    <row r="93" ht="15.75" customHeight="1">
      <c r="U93" s="4"/>
      <c r="V93" s="4"/>
      <c r="W93" s="4"/>
      <c r="X93" s="4"/>
      <c r="Y93" s="4"/>
      <c r="Z93" s="4"/>
    </row>
    <row r="94" ht="15.75" customHeight="1">
      <c r="U94" s="4"/>
      <c r="V94" s="4"/>
      <c r="W94" s="4"/>
      <c r="X94" s="4"/>
      <c r="Y94" s="4"/>
      <c r="Z94" s="4"/>
    </row>
    <row r="95" ht="15.75" customHeight="1">
      <c r="U95" s="4"/>
      <c r="V95" s="4"/>
      <c r="W95" s="4"/>
      <c r="X95" s="4"/>
      <c r="Y95" s="4"/>
      <c r="Z95" s="4"/>
    </row>
    <row r="96" ht="15.75" customHeight="1">
      <c r="U96" s="4"/>
      <c r="V96" s="4"/>
      <c r="W96" s="4"/>
      <c r="X96" s="4"/>
      <c r="Y96" s="4"/>
      <c r="Z96" s="4"/>
    </row>
    <row r="97" ht="15.75" customHeight="1">
      <c r="U97" s="4"/>
      <c r="V97" s="4"/>
      <c r="W97" s="4"/>
      <c r="X97" s="4"/>
      <c r="Y97" s="4"/>
      <c r="Z97" s="4"/>
    </row>
    <row r="98" ht="15.75" customHeight="1">
      <c r="U98" s="4"/>
      <c r="V98" s="4"/>
      <c r="W98" s="4"/>
      <c r="X98" s="4"/>
      <c r="Y98" s="4"/>
      <c r="Z98" s="4"/>
    </row>
    <row r="99" ht="15.75" customHeight="1">
      <c r="U99" s="4"/>
      <c r="V99" s="4"/>
      <c r="W99" s="4"/>
      <c r="X99" s="4"/>
      <c r="Y99" s="4"/>
      <c r="Z99" s="4"/>
    </row>
    <row r="100" ht="15.75" customHeight="1">
      <c r="U100" s="4"/>
      <c r="V100" s="4"/>
      <c r="W100" s="4"/>
      <c r="X100" s="4"/>
      <c r="Y100" s="4"/>
      <c r="Z100" s="4"/>
    </row>
    <row r="101" ht="15.75" customHeight="1">
      <c r="U101" s="4"/>
      <c r="V101" s="4"/>
      <c r="W101" s="4"/>
      <c r="X101" s="4"/>
      <c r="Y101" s="4"/>
      <c r="Z101" s="4"/>
    </row>
    <row r="102" ht="15.75" customHeight="1">
      <c r="U102" s="4"/>
      <c r="V102" s="4"/>
      <c r="W102" s="4"/>
      <c r="X102" s="4"/>
      <c r="Y102" s="4"/>
      <c r="Z102" s="4"/>
    </row>
    <row r="103" ht="15.75" customHeight="1">
      <c r="U103" s="4"/>
      <c r="V103" s="4"/>
      <c r="W103" s="4"/>
      <c r="X103" s="4"/>
      <c r="Y103" s="4"/>
      <c r="Z103" s="4"/>
    </row>
    <row r="104" ht="15.75" customHeight="1">
      <c r="U104" s="4"/>
      <c r="V104" s="4"/>
      <c r="W104" s="4"/>
      <c r="X104" s="4"/>
      <c r="Y104" s="4"/>
      <c r="Z104" s="4"/>
    </row>
    <row r="105" ht="15.75" customHeight="1">
      <c r="U105" s="4"/>
      <c r="V105" s="4"/>
      <c r="W105" s="4"/>
      <c r="X105" s="4"/>
      <c r="Y105" s="4"/>
      <c r="Z105" s="4"/>
    </row>
    <row r="106" ht="15.75" customHeight="1">
      <c r="U106" s="4"/>
      <c r="V106" s="4"/>
      <c r="W106" s="4"/>
      <c r="X106" s="4"/>
      <c r="Y106" s="4"/>
      <c r="Z106" s="4"/>
    </row>
    <row r="107" ht="15.75" customHeight="1">
      <c r="U107" s="4"/>
      <c r="V107" s="4"/>
      <c r="W107" s="4"/>
      <c r="X107" s="4"/>
      <c r="Y107" s="4"/>
      <c r="Z107" s="4"/>
    </row>
    <row r="108" ht="15.75" customHeight="1">
      <c r="U108" s="4"/>
      <c r="V108" s="4"/>
      <c r="W108" s="4"/>
      <c r="X108" s="4"/>
      <c r="Y108" s="4"/>
      <c r="Z108" s="4"/>
    </row>
    <row r="109" ht="15.75" customHeight="1">
      <c r="U109" s="4"/>
      <c r="V109" s="4"/>
      <c r="W109" s="4"/>
      <c r="X109" s="4"/>
      <c r="Y109" s="4"/>
      <c r="Z109" s="4"/>
    </row>
    <row r="110" ht="15.75" customHeight="1">
      <c r="U110" s="4"/>
      <c r="V110" s="4"/>
      <c r="W110" s="4"/>
      <c r="X110" s="4"/>
      <c r="Y110" s="4"/>
      <c r="Z110" s="4"/>
    </row>
    <row r="111" ht="15.75" customHeight="1">
      <c r="U111" s="4"/>
      <c r="V111" s="4"/>
      <c r="W111" s="4"/>
      <c r="X111" s="4"/>
      <c r="Y111" s="4"/>
      <c r="Z111" s="4"/>
    </row>
    <row r="112" ht="15.75" customHeight="1">
      <c r="U112" s="4"/>
      <c r="V112" s="4"/>
      <c r="W112" s="4"/>
      <c r="X112" s="4"/>
      <c r="Y112" s="4"/>
      <c r="Z112" s="4"/>
    </row>
    <row r="113" ht="15.75" customHeight="1">
      <c r="U113" s="4"/>
      <c r="V113" s="4"/>
      <c r="W113" s="4"/>
      <c r="X113" s="4"/>
      <c r="Y113" s="4"/>
      <c r="Z113" s="4"/>
    </row>
    <row r="114" ht="15.75" customHeight="1">
      <c r="U114" s="4"/>
      <c r="V114" s="4"/>
      <c r="W114" s="4"/>
      <c r="X114" s="4"/>
      <c r="Y114" s="4"/>
      <c r="Z114" s="4"/>
    </row>
    <row r="115" ht="15.75" customHeight="1">
      <c r="U115" s="4"/>
      <c r="V115" s="4"/>
      <c r="W115" s="4"/>
      <c r="X115" s="4"/>
      <c r="Y115" s="4"/>
      <c r="Z115" s="4"/>
    </row>
    <row r="116" ht="15.75" customHeight="1">
      <c r="U116" s="4"/>
      <c r="V116" s="4"/>
      <c r="W116" s="4"/>
      <c r="X116" s="4"/>
      <c r="Y116" s="4"/>
      <c r="Z116" s="4"/>
    </row>
    <row r="117" ht="15.75" customHeight="1">
      <c r="U117" s="4"/>
      <c r="V117" s="4"/>
      <c r="W117" s="4"/>
      <c r="X117" s="4"/>
      <c r="Y117" s="4"/>
      <c r="Z117" s="4"/>
    </row>
    <row r="118" ht="15.75" customHeight="1">
      <c r="U118" s="4"/>
      <c r="V118" s="4"/>
      <c r="W118" s="4"/>
      <c r="X118" s="4"/>
      <c r="Y118" s="4"/>
      <c r="Z118" s="4"/>
    </row>
    <row r="119" ht="15.75" customHeight="1">
      <c r="U119" s="4"/>
      <c r="V119" s="4"/>
      <c r="W119" s="4"/>
      <c r="X119" s="4"/>
      <c r="Y119" s="4"/>
      <c r="Z119" s="4"/>
    </row>
    <row r="120" ht="15.75" customHeight="1">
      <c r="U120" s="4"/>
      <c r="V120" s="4"/>
      <c r="W120" s="4"/>
      <c r="X120" s="4"/>
      <c r="Y120" s="4"/>
      <c r="Z120" s="4"/>
    </row>
    <row r="121" ht="15.75" customHeight="1">
      <c r="U121" s="4"/>
      <c r="V121" s="4"/>
      <c r="W121" s="4"/>
      <c r="X121" s="4"/>
      <c r="Y121" s="4"/>
      <c r="Z121" s="4"/>
    </row>
    <row r="122" ht="15.75" customHeight="1">
      <c r="U122" s="4"/>
      <c r="V122" s="4"/>
      <c r="W122" s="4"/>
      <c r="X122" s="4"/>
      <c r="Y122" s="4"/>
      <c r="Z122" s="4"/>
    </row>
    <row r="123" ht="15.75" customHeight="1">
      <c r="U123" s="4"/>
      <c r="V123" s="4"/>
      <c r="W123" s="4"/>
      <c r="X123" s="4"/>
      <c r="Y123" s="4"/>
      <c r="Z123" s="4"/>
    </row>
    <row r="124" ht="15.75" customHeight="1">
      <c r="U124" s="4"/>
      <c r="V124" s="4"/>
      <c r="W124" s="4"/>
      <c r="X124" s="4"/>
      <c r="Y124" s="4"/>
      <c r="Z124" s="4"/>
    </row>
    <row r="125" ht="15.75" customHeight="1">
      <c r="U125" s="4"/>
      <c r="V125" s="4"/>
      <c r="W125" s="4"/>
      <c r="X125" s="4"/>
      <c r="Y125" s="4"/>
      <c r="Z125" s="4"/>
    </row>
    <row r="126" ht="15.75" customHeight="1">
      <c r="U126" s="4"/>
      <c r="V126" s="4"/>
      <c r="W126" s="4"/>
      <c r="X126" s="4"/>
      <c r="Y126" s="4"/>
      <c r="Z126" s="4"/>
    </row>
    <row r="127" ht="15.75" customHeight="1">
      <c r="U127" s="4"/>
      <c r="V127" s="4"/>
      <c r="W127" s="4"/>
      <c r="X127" s="4"/>
      <c r="Y127" s="4"/>
      <c r="Z127" s="4"/>
    </row>
    <row r="128" ht="15.75" customHeight="1">
      <c r="U128" s="4"/>
      <c r="V128" s="4"/>
      <c r="W128" s="4"/>
      <c r="X128" s="4"/>
      <c r="Y128" s="4"/>
      <c r="Z128" s="4"/>
    </row>
    <row r="129" ht="15.75" customHeight="1">
      <c r="U129" s="4"/>
      <c r="V129" s="4"/>
      <c r="W129" s="4"/>
      <c r="X129" s="4"/>
      <c r="Y129" s="4"/>
      <c r="Z129" s="4"/>
    </row>
    <row r="130" ht="15.75" customHeight="1">
      <c r="U130" s="4"/>
      <c r="V130" s="4"/>
      <c r="W130" s="4"/>
      <c r="X130" s="4"/>
      <c r="Y130" s="4"/>
      <c r="Z130" s="4"/>
    </row>
    <row r="131" ht="15.75" customHeight="1">
      <c r="U131" s="4"/>
      <c r="V131" s="4"/>
      <c r="W131" s="4"/>
      <c r="X131" s="4"/>
      <c r="Y131" s="4"/>
      <c r="Z131" s="4"/>
    </row>
    <row r="132" ht="15.75" customHeight="1">
      <c r="U132" s="4"/>
      <c r="V132" s="4"/>
      <c r="W132" s="4"/>
      <c r="X132" s="4"/>
      <c r="Y132" s="4"/>
      <c r="Z132" s="4"/>
    </row>
    <row r="133" ht="15.75" customHeight="1">
      <c r="U133" s="4"/>
      <c r="V133" s="4"/>
      <c r="W133" s="4"/>
      <c r="X133" s="4"/>
      <c r="Y133" s="4"/>
      <c r="Z133" s="4"/>
    </row>
    <row r="134" ht="15.75" customHeight="1">
      <c r="U134" s="4"/>
      <c r="V134" s="4"/>
      <c r="W134" s="4"/>
      <c r="X134" s="4"/>
      <c r="Y134" s="4"/>
      <c r="Z134" s="4"/>
    </row>
    <row r="135" ht="15.75" customHeight="1">
      <c r="U135" s="4"/>
      <c r="V135" s="4"/>
      <c r="W135" s="4"/>
      <c r="X135" s="4"/>
      <c r="Y135" s="4"/>
      <c r="Z135" s="4"/>
    </row>
    <row r="136" ht="15.75" customHeight="1">
      <c r="U136" s="4"/>
      <c r="V136" s="4"/>
      <c r="W136" s="4"/>
      <c r="X136" s="4"/>
      <c r="Y136" s="4"/>
      <c r="Z136" s="4"/>
    </row>
    <row r="137" ht="15.75" customHeight="1">
      <c r="U137" s="4"/>
      <c r="V137" s="4"/>
      <c r="W137" s="4"/>
      <c r="X137" s="4"/>
      <c r="Y137" s="4"/>
      <c r="Z137" s="4"/>
    </row>
    <row r="138" ht="15.75" customHeight="1">
      <c r="U138" s="4"/>
      <c r="V138" s="4"/>
      <c r="W138" s="4"/>
      <c r="X138" s="4"/>
      <c r="Y138" s="4"/>
      <c r="Z138" s="4"/>
    </row>
    <row r="139" ht="15.75" customHeight="1">
      <c r="U139" s="4"/>
      <c r="V139" s="4"/>
      <c r="W139" s="4"/>
      <c r="X139" s="4"/>
      <c r="Y139" s="4"/>
      <c r="Z139" s="4"/>
    </row>
    <row r="140" ht="15.75" customHeight="1">
      <c r="U140" s="4"/>
      <c r="V140" s="4"/>
      <c r="W140" s="4"/>
      <c r="X140" s="4"/>
      <c r="Y140" s="4"/>
      <c r="Z140" s="4"/>
    </row>
    <row r="141" ht="15.75" customHeight="1">
      <c r="U141" s="4"/>
      <c r="V141" s="4"/>
      <c r="W141" s="4"/>
      <c r="X141" s="4"/>
      <c r="Y141" s="4"/>
      <c r="Z141" s="4"/>
    </row>
    <row r="142" ht="15.75" customHeight="1">
      <c r="U142" s="4"/>
      <c r="V142" s="4"/>
      <c r="W142" s="4"/>
      <c r="X142" s="4"/>
      <c r="Y142" s="4"/>
      <c r="Z142" s="4"/>
    </row>
    <row r="143" ht="15.75" customHeight="1">
      <c r="U143" s="4"/>
      <c r="V143" s="4"/>
      <c r="W143" s="4"/>
      <c r="X143" s="4"/>
      <c r="Y143" s="4"/>
      <c r="Z143" s="4"/>
    </row>
    <row r="144" ht="15.75" customHeight="1">
      <c r="U144" s="4"/>
      <c r="V144" s="4"/>
      <c r="W144" s="4"/>
      <c r="X144" s="4"/>
      <c r="Y144" s="4"/>
      <c r="Z144" s="4"/>
    </row>
    <row r="145" ht="15.75" customHeight="1">
      <c r="U145" s="4"/>
      <c r="V145" s="4"/>
      <c r="W145" s="4"/>
      <c r="X145" s="4"/>
      <c r="Y145" s="4"/>
      <c r="Z145" s="4"/>
    </row>
    <row r="146" ht="15.75" customHeight="1">
      <c r="U146" s="4"/>
      <c r="V146" s="4"/>
      <c r="W146" s="4"/>
      <c r="X146" s="4"/>
      <c r="Y146" s="4"/>
      <c r="Z146" s="4"/>
    </row>
    <row r="147" ht="15.75" customHeight="1">
      <c r="U147" s="4"/>
      <c r="V147" s="4"/>
      <c r="W147" s="4"/>
      <c r="X147" s="4"/>
      <c r="Y147" s="4"/>
      <c r="Z147" s="4"/>
    </row>
    <row r="148" ht="15.75" customHeight="1">
      <c r="U148" s="4"/>
      <c r="V148" s="4"/>
      <c r="W148" s="4"/>
      <c r="X148" s="4"/>
      <c r="Y148" s="4"/>
      <c r="Z148" s="4"/>
    </row>
    <row r="149" ht="15.75" customHeight="1">
      <c r="U149" s="4"/>
      <c r="V149" s="4"/>
      <c r="W149" s="4"/>
      <c r="X149" s="4"/>
      <c r="Y149" s="4"/>
      <c r="Z149" s="4"/>
    </row>
    <row r="150" ht="15.75" customHeight="1">
      <c r="U150" s="4"/>
      <c r="V150" s="4"/>
      <c r="W150" s="4"/>
      <c r="X150" s="4"/>
      <c r="Y150" s="4"/>
      <c r="Z150" s="4"/>
    </row>
    <row r="151" ht="15.75" customHeight="1">
      <c r="U151" s="4"/>
      <c r="V151" s="4"/>
      <c r="W151" s="4"/>
      <c r="X151" s="4"/>
      <c r="Y151" s="4"/>
      <c r="Z151" s="4"/>
    </row>
    <row r="152" ht="15.75" customHeight="1">
      <c r="U152" s="4"/>
      <c r="V152" s="4"/>
      <c r="W152" s="4"/>
      <c r="X152" s="4"/>
      <c r="Y152" s="4"/>
      <c r="Z152" s="4"/>
    </row>
    <row r="153" ht="15.75" customHeight="1">
      <c r="U153" s="4"/>
      <c r="V153" s="4"/>
      <c r="W153" s="4"/>
      <c r="X153" s="4"/>
      <c r="Y153" s="4"/>
      <c r="Z153" s="4"/>
    </row>
    <row r="154" ht="15.75" customHeight="1">
      <c r="U154" s="4"/>
      <c r="V154" s="4"/>
      <c r="W154" s="4"/>
      <c r="X154" s="4"/>
      <c r="Y154" s="4"/>
      <c r="Z154" s="4"/>
    </row>
    <row r="155" ht="15.75" customHeight="1">
      <c r="U155" s="4"/>
      <c r="V155" s="4"/>
      <c r="W155" s="4"/>
      <c r="X155" s="4"/>
      <c r="Y155" s="4"/>
      <c r="Z155" s="4"/>
    </row>
    <row r="156" ht="15.75" customHeight="1">
      <c r="U156" s="4"/>
      <c r="V156" s="4"/>
      <c r="W156" s="4"/>
      <c r="X156" s="4"/>
      <c r="Y156" s="4"/>
      <c r="Z156" s="4"/>
    </row>
    <row r="157" ht="15.75" customHeight="1">
      <c r="U157" s="4"/>
      <c r="V157" s="4"/>
      <c r="W157" s="4"/>
      <c r="X157" s="4"/>
      <c r="Y157" s="4"/>
      <c r="Z157" s="4"/>
    </row>
    <row r="158" ht="15.75" customHeight="1">
      <c r="U158" s="4"/>
      <c r="V158" s="4"/>
      <c r="W158" s="4"/>
      <c r="X158" s="4"/>
      <c r="Y158" s="4"/>
      <c r="Z158" s="4"/>
    </row>
    <row r="159" ht="15.75" customHeight="1">
      <c r="U159" s="4"/>
      <c r="V159" s="4"/>
      <c r="W159" s="4"/>
      <c r="X159" s="4"/>
      <c r="Y159" s="4"/>
      <c r="Z159" s="4"/>
    </row>
    <row r="160" ht="15.75" customHeight="1">
      <c r="U160" s="4"/>
      <c r="V160" s="4"/>
      <c r="W160" s="4"/>
      <c r="X160" s="4"/>
      <c r="Y160" s="4"/>
      <c r="Z160" s="4"/>
    </row>
    <row r="161" ht="15.75" customHeight="1">
      <c r="U161" s="4"/>
      <c r="V161" s="4"/>
      <c r="W161" s="4"/>
      <c r="X161" s="4"/>
      <c r="Y161" s="4"/>
      <c r="Z161" s="4"/>
    </row>
    <row r="162" ht="15.75" customHeight="1">
      <c r="U162" s="4"/>
      <c r="V162" s="4"/>
      <c r="W162" s="4"/>
      <c r="X162" s="4"/>
      <c r="Y162" s="4"/>
      <c r="Z162" s="4"/>
    </row>
    <row r="163" ht="15.75" customHeight="1">
      <c r="U163" s="4"/>
      <c r="V163" s="4"/>
      <c r="W163" s="4"/>
      <c r="X163" s="4"/>
      <c r="Y163" s="4"/>
      <c r="Z163" s="4"/>
    </row>
    <row r="164" ht="15.75" customHeight="1">
      <c r="U164" s="4"/>
      <c r="V164" s="4"/>
      <c r="W164" s="4"/>
      <c r="X164" s="4"/>
      <c r="Y164" s="4"/>
      <c r="Z164" s="4"/>
    </row>
    <row r="165" ht="15.75" customHeight="1">
      <c r="U165" s="4"/>
      <c r="V165" s="4"/>
      <c r="W165" s="4"/>
      <c r="X165" s="4"/>
      <c r="Y165" s="4"/>
      <c r="Z165" s="4"/>
    </row>
    <row r="166" ht="15.75" customHeight="1">
      <c r="U166" s="4"/>
      <c r="V166" s="4"/>
      <c r="W166" s="4"/>
      <c r="X166" s="4"/>
      <c r="Y166" s="4"/>
      <c r="Z166" s="4"/>
    </row>
    <row r="167" ht="15.75" customHeight="1">
      <c r="U167" s="4"/>
      <c r="V167" s="4"/>
      <c r="W167" s="4"/>
      <c r="X167" s="4"/>
      <c r="Y167" s="4"/>
      <c r="Z167" s="4"/>
    </row>
    <row r="168" ht="15.75" customHeight="1">
      <c r="U168" s="4"/>
      <c r="V168" s="4"/>
      <c r="W168" s="4"/>
      <c r="X168" s="4"/>
      <c r="Y168" s="4"/>
      <c r="Z168" s="4"/>
    </row>
    <row r="169" ht="15.75" customHeight="1">
      <c r="U169" s="4"/>
      <c r="V169" s="4"/>
      <c r="W169" s="4"/>
      <c r="X169" s="4"/>
      <c r="Y169" s="4"/>
      <c r="Z169" s="4"/>
    </row>
    <row r="170" ht="15.75" customHeight="1">
      <c r="U170" s="4"/>
      <c r="V170" s="4"/>
      <c r="W170" s="4"/>
      <c r="X170" s="4"/>
      <c r="Y170" s="4"/>
      <c r="Z170" s="4"/>
    </row>
    <row r="171" ht="15.75" customHeight="1">
      <c r="U171" s="4"/>
      <c r="V171" s="4"/>
      <c r="W171" s="4"/>
      <c r="X171" s="4"/>
      <c r="Y171" s="4"/>
      <c r="Z171" s="4"/>
    </row>
    <row r="172" ht="15.75" customHeight="1">
      <c r="U172" s="4"/>
      <c r="V172" s="4"/>
      <c r="W172" s="4"/>
      <c r="X172" s="4"/>
      <c r="Y172" s="4"/>
      <c r="Z172" s="4"/>
    </row>
    <row r="173" ht="15.75" customHeight="1">
      <c r="U173" s="4"/>
      <c r="V173" s="4"/>
      <c r="W173" s="4"/>
      <c r="X173" s="4"/>
      <c r="Y173" s="4"/>
      <c r="Z173" s="4"/>
    </row>
    <row r="174" ht="15.75" customHeight="1">
      <c r="U174" s="4"/>
      <c r="V174" s="4"/>
      <c r="W174" s="4"/>
      <c r="X174" s="4"/>
      <c r="Y174" s="4"/>
      <c r="Z174" s="4"/>
    </row>
    <row r="175" ht="15.75" customHeight="1">
      <c r="U175" s="4"/>
      <c r="V175" s="4"/>
      <c r="W175" s="4"/>
      <c r="X175" s="4"/>
      <c r="Y175" s="4"/>
      <c r="Z175" s="4"/>
    </row>
    <row r="176" ht="15.75" customHeight="1">
      <c r="U176" s="4"/>
      <c r="V176" s="4"/>
      <c r="W176" s="4"/>
      <c r="X176" s="4"/>
      <c r="Y176" s="4"/>
      <c r="Z176" s="4"/>
    </row>
    <row r="177" ht="15.75" customHeight="1">
      <c r="U177" s="4"/>
      <c r="V177" s="4"/>
      <c r="W177" s="4"/>
      <c r="X177" s="4"/>
      <c r="Y177" s="4"/>
      <c r="Z177" s="4"/>
    </row>
    <row r="178" ht="15.75" customHeight="1">
      <c r="U178" s="4"/>
      <c r="V178" s="4"/>
      <c r="W178" s="4"/>
      <c r="X178" s="4"/>
      <c r="Y178" s="4"/>
      <c r="Z178" s="4"/>
    </row>
    <row r="179" ht="15.75" customHeight="1">
      <c r="U179" s="4"/>
      <c r="V179" s="4"/>
      <c r="W179" s="4"/>
      <c r="X179" s="4"/>
      <c r="Y179" s="4"/>
      <c r="Z179" s="4"/>
    </row>
    <row r="180" ht="15.75" customHeight="1">
      <c r="U180" s="4"/>
      <c r="V180" s="4"/>
      <c r="W180" s="4"/>
      <c r="X180" s="4"/>
      <c r="Y180" s="4"/>
      <c r="Z180" s="4"/>
    </row>
    <row r="181" ht="15.75" customHeight="1">
      <c r="U181" s="4"/>
      <c r="V181" s="4"/>
      <c r="W181" s="4"/>
      <c r="X181" s="4"/>
      <c r="Y181" s="4"/>
      <c r="Z181" s="4"/>
    </row>
    <row r="182" ht="15.75" customHeight="1">
      <c r="U182" s="4"/>
      <c r="V182" s="4"/>
      <c r="W182" s="4"/>
      <c r="X182" s="4"/>
      <c r="Y182" s="4"/>
      <c r="Z182" s="4"/>
    </row>
    <row r="183" ht="15.75" customHeight="1">
      <c r="U183" s="4"/>
      <c r="V183" s="4"/>
      <c r="W183" s="4"/>
      <c r="X183" s="4"/>
      <c r="Y183" s="4"/>
      <c r="Z183" s="4"/>
    </row>
    <row r="184" ht="15.75" customHeight="1">
      <c r="U184" s="4"/>
      <c r="V184" s="4"/>
      <c r="W184" s="4"/>
      <c r="X184" s="4"/>
      <c r="Y184" s="4"/>
      <c r="Z184" s="4"/>
    </row>
    <row r="185" ht="15.75" customHeight="1">
      <c r="U185" s="4"/>
      <c r="V185" s="4"/>
      <c r="W185" s="4"/>
      <c r="X185" s="4"/>
      <c r="Y185" s="4"/>
      <c r="Z185" s="4"/>
    </row>
    <row r="186" ht="15.75" customHeight="1">
      <c r="U186" s="4"/>
      <c r="V186" s="4"/>
      <c r="W186" s="4"/>
      <c r="X186" s="4"/>
      <c r="Y186" s="4"/>
      <c r="Z186" s="4"/>
    </row>
    <row r="187" ht="15.75" customHeight="1">
      <c r="U187" s="4"/>
      <c r="V187" s="4"/>
      <c r="W187" s="4"/>
      <c r="X187" s="4"/>
      <c r="Y187" s="4"/>
      <c r="Z187" s="4"/>
    </row>
    <row r="188" ht="15.75" customHeight="1">
      <c r="U188" s="4"/>
      <c r="V188" s="4"/>
      <c r="W188" s="4"/>
      <c r="X188" s="4"/>
      <c r="Y188" s="4"/>
      <c r="Z188" s="4"/>
    </row>
    <row r="189" ht="15.75" customHeight="1">
      <c r="U189" s="4"/>
      <c r="V189" s="4"/>
      <c r="W189" s="4"/>
      <c r="X189" s="4"/>
      <c r="Y189" s="4"/>
      <c r="Z189" s="4"/>
    </row>
    <row r="190" ht="15.75" customHeight="1">
      <c r="U190" s="4"/>
      <c r="V190" s="4"/>
      <c r="W190" s="4"/>
      <c r="X190" s="4"/>
      <c r="Y190" s="4"/>
      <c r="Z190" s="4"/>
    </row>
    <row r="191" ht="15.75" customHeight="1">
      <c r="U191" s="4"/>
      <c r="V191" s="4"/>
      <c r="W191" s="4"/>
      <c r="X191" s="4"/>
      <c r="Y191" s="4"/>
      <c r="Z191" s="4"/>
    </row>
    <row r="192" ht="15.75" customHeight="1">
      <c r="U192" s="4"/>
      <c r="V192" s="4"/>
      <c r="W192" s="4"/>
      <c r="X192" s="4"/>
      <c r="Y192" s="4"/>
      <c r="Z192" s="4"/>
    </row>
    <row r="193" ht="15.75" customHeight="1">
      <c r="U193" s="4"/>
      <c r="V193" s="4"/>
      <c r="W193" s="4"/>
      <c r="X193" s="4"/>
      <c r="Y193" s="4"/>
      <c r="Z193" s="4"/>
    </row>
    <row r="194" ht="15.75" customHeight="1">
      <c r="U194" s="4"/>
      <c r="V194" s="4"/>
      <c r="W194" s="4"/>
      <c r="X194" s="4"/>
      <c r="Y194" s="4"/>
      <c r="Z194" s="4"/>
    </row>
    <row r="195" ht="15.75" customHeight="1">
      <c r="U195" s="4"/>
      <c r="V195" s="4"/>
      <c r="W195" s="4"/>
      <c r="X195" s="4"/>
      <c r="Y195" s="4"/>
      <c r="Z195" s="4"/>
    </row>
    <row r="196" ht="15.75" customHeight="1">
      <c r="U196" s="4"/>
      <c r="V196" s="4"/>
      <c r="W196" s="4"/>
      <c r="X196" s="4"/>
      <c r="Y196" s="4"/>
      <c r="Z196" s="4"/>
    </row>
    <row r="197" ht="15.75" customHeight="1">
      <c r="U197" s="4"/>
      <c r="V197" s="4"/>
      <c r="W197" s="4"/>
      <c r="X197" s="4"/>
      <c r="Y197" s="4"/>
      <c r="Z197" s="4"/>
    </row>
    <row r="198" ht="15.75" customHeight="1">
      <c r="U198" s="4"/>
      <c r="V198" s="4"/>
      <c r="W198" s="4"/>
      <c r="X198" s="4"/>
      <c r="Y198" s="4"/>
      <c r="Z198" s="4"/>
    </row>
    <row r="199" ht="15.75" customHeight="1">
      <c r="U199" s="4"/>
      <c r="V199" s="4"/>
      <c r="W199" s="4"/>
      <c r="X199" s="4"/>
      <c r="Y199" s="4"/>
      <c r="Z199" s="4"/>
    </row>
    <row r="200" ht="15.75" customHeight="1">
      <c r="U200" s="4"/>
      <c r="V200" s="4"/>
      <c r="W200" s="4"/>
      <c r="X200" s="4"/>
      <c r="Y200" s="4"/>
      <c r="Z200" s="4"/>
    </row>
    <row r="201" ht="15.75" customHeight="1">
      <c r="U201" s="4"/>
      <c r="V201" s="4"/>
      <c r="W201" s="4"/>
      <c r="X201" s="4"/>
      <c r="Y201" s="4"/>
      <c r="Z201" s="4"/>
    </row>
    <row r="202" ht="15.75" customHeight="1">
      <c r="U202" s="4"/>
      <c r="V202" s="4"/>
      <c r="W202" s="4"/>
      <c r="X202" s="4"/>
      <c r="Y202" s="4"/>
      <c r="Z202" s="4"/>
    </row>
    <row r="203" ht="15.75" customHeight="1">
      <c r="U203" s="4"/>
      <c r="V203" s="4"/>
      <c r="W203" s="4"/>
      <c r="X203" s="4"/>
      <c r="Y203" s="4"/>
      <c r="Z203" s="4"/>
    </row>
    <row r="204" ht="15.75" customHeight="1">
      <c r="U204" s="4"/>
      <c r="V204" s="4"/>
      <c r="W204" s="4"/>
      <c r="X204" s="4"/>
      <c r="Y204" s="4"/>
      <c r="Z204" s="4"/>
    </row>
    <row r="205" ht="15.75" customHeight="1">
      <c r="U205" s="4"/>
      <c r="V205" s="4"/>
      <c r="W205" s="4"/>
      <c r="X205" s="4"/>
      <c r="Y205" s="4"/>
      <c r="Z205" s="4"/>
    </row>
    <row r="206" ht="15.75" customHeight="1">
      <c r="U206" s="4"/>
      <c r="V206" s="4"/>
      <c r="W206" s="4"/>
      <c r="X206" s="4"/>
      <c r="Y206" s="4"/>
      <c r="Z206" s="4"/>
    </row>
    <row r="207" ht="15.75" customHeight="1">
      <c r="U207" s="4"/>
      <c r="V207" s="4"/>
      <c r="W207" s="4"/>
      <c r="X207" s="4"/>
      <c r="Y207" s="4"/>
      <c r="Z207" s="4"/>
    </row>
    <row r="208" ht="15.75" customHeight="1">
      <c r="U208" s="4"/>
      <c r="V208" s="4"/>
      <c r="W208" s="4"/>
      <c r="X208" s="4"/>
      <c r="Y208" s="4"/>
      <c r="Z208" s="4"/>
    </row>
    <row r="209" ht="15.75" customHeight="1">
      <c r="U209" s="4"/>
      <c r="V209" s="4"/>
      <c r="W209" s="4"/>
      <c r="X209" s="4"/>
      <c r="Y209" s="4"/>
      <c r="Z209" s="4"/>
    </row>
    <row r="210" ht="15.75" customHeight="1">
      <c r="U210" s="4"/>
      <c r="V210" s="4"/>
      <c r="W210" s="4"/>
      <c r="X210" s="4"/>
      <c r="Y210" s="4"/>
      <c r="Z210" s="4"/>
    </row>
    <row r="211" ht="15.75" customHeight="1">
      <c r="U211" s="4"/>
      <c r="V211" s="4"/>
      <c r="W211" s="4"/>
      <c r="X211" s="4"/>
      <c r="Y211" s="4"/>
      <c r="Z211" s="4"/>
    </row>
    <row r="212" ht="15.75" customHeight="1">
      <c r="U212" s="4"/>
      <c r="V212" s="4"/>
      <c r="W212" s="4"/>
      <c r="X212" s="4"/>
      <c r="Y212" s="4"/>
      <c r="Z212" s="4"/>
    </row>
    <row r="213" ht="15.75" customHeight="1">
      <c r="U213" s="4"/>
      <c r="V213" s="4"/>
      <c r="W213" s="4"/>
      <c r="X213" s="4"/>
      <c r="Y213" s="4"/>
      <c r="Z213" s="4"/>
    </row>
    <row r="214" ht="15.75" customHeight="1">
      <c r="U214" s="4"/>
      <c r="V214" s="4"/>
      <c r="W214" s="4"/>
      <c r="X214" s="4"/>
      <c r="Y214" s="4"/>
      <c r="Z214" s="4"/>
    </row>
    <row r="215" ht="15.75" customHeight="1">
      <c r="U215" s="4"/>
      <c r="V215" s="4"/>
      <c r="W215" s="4"/>
      <c r="X215" s="4"/>
      <c r="Y215" s="4"/>
      <c r="Z215" s="4"/>
    </row>
    <row r="216" ht="15.75" customHeight="1">
      <c r="U216" s="4"/>
      <c r="V216" s="4"/>
      <c r="W216" s="4"/>
      <c r="X216" s="4"/>
      <c r="Y216" s="4"/>
      <c r="Z216" s="4"/>
    </row>
    <row r="217" ht="15.75" customHeight="1">
      <c r="U217" s="4"/>
      <c r="V217" s="4"/>
      <c r="W217" s="4"/>
      <c r="X217" s="4"/>
      <c r="Y217" s="4"/>
      <c r="Z217" s="4"/>
    </row>
    <row r="218" ht="15.75" customHeight="1">
      <c r="U218" s="4"/>
      <c r="V218" s="4"/>
      <c r="W218" s="4"/>
      <c r="X218" s="4"/>
      <c r="Y218" s="4"/>
      <c r="Z218" s="4"/>
    </row>
    <row r="219" ht="15.75" customHeight="1">
      <c r="U219" s="4"/>
      <c r="V219" s="4"/>
      <c r="W219" s="4"/>
      <c r="X219" s="4"/>
      <c r="Y219" s="4"/>
      <c r="Z219" s="4"/>
    </row>
    <row r="220" ht="15.75" customHeight="1">
      <c r="U220" s="4"/>
      <c r="V220" s="4"/>
      <c r="W220" s="4"/>
      <c r="X220" s="4"/>
      <c r="Y220" s="4"/>
      <c r="Z220" s="4"/>
    </row>
    <row r="221" ht="15.75" customHeight="1">
      <c r="U221" s="4"/>
      <c r="V221" s="4"/>
      <c r="W221" s="4"/>
      <c r="X221" s="4"/>
      <c r="Y221" s="4"/>
      <c r="Z221" s="4"/>
    </row>
    <row r="222" ht="15.75" customHeight="1">
      <c r="U222" s="4"/>
      <c r="V222" s="4"/>
      <c r="W222" s="4"/>
      <c r="X222" s="4"/>
      <c r="Y222" s="4"/>
      <c r="Z222" s="4"/>
    </row>
    <row r="223" ht="15.75" customHeight="1">
      <c r="U223" s="4"/>
      <c r="V223" s="4"/>
      <c r="W223" s="4"/>
      <c r="X223" s="4"/>
      <c r="Y223" s="4"/>
      <c r="Z223" s="4"/>
    </row>
    <row r="224" ht="15.75" customHeight="1">
      <c r="U224" s="4"/>
      <c r="V224" s="4"/>
      <c r="W224" s="4"/>
      <c r="X224" s="4"/>
      <c r="Y224" s="4"/>
      <c r="Z224" s="4"/>
    </row>
    <row r="225" ht="15.75" customHeight="1">
      <c r="U225" s="4"/>
      <c r="V225" s="4"/>
      <c r="W225" s="4"/>
      <c r="X225" s="4"/>
      <c r="Y225" s="4"/>
      <c r="Z225" s="4"/>
    </row>
    <row r="226" ht="15.75" customHeight="1">
      <c r="U226" s="4"/>
      <c r="V226" s="4"/>
      <c r="W226" s="4"/>
      <c r="X226" s="4"/>
      <c r="Y226" s="4"/>
      <c r="Z226" s="4"/>
    </row>
    <row r="227" ht="15.75" customHeight="1">
      <c r="U227" s="4"/>
      <c r="V227" s="4"/>
      <c r="W227" s="4"/>
      <c r="X227" s="4"/>
      <c r="Y227" s="4"/>
      <c r="Z227" s="4"/>
    </row>
    <row r="228" ht="15.75" customHeight="1">
      <c r="U228" s="4"/>
      <c r="V228" s="4"/>
      <c r="W228" s="4"/>
      <c r="X228" s="4"/>
      <c r="Y228" s="4"/>
      <c r="Z228" s="4"/>
    </row>
    <row r="229" ht="15.75" customHeight="1">
      <c r="U229" s="4"/>
      <c r="V229" s="4"/>
      <c r="W229" s="4"/>
      <c r="X229" s="4"/>
      <c r="Y229" s="4"/>
      <c r="Z229" s="4"/>
    </row>
    <row r="230" ht="15.75" customHeight="1">
      <c r="U230" s="4"/>
      <c r="V230" s="4"/>
      <c r="W230" s="4"/>
      <c r="X230" s="4"/>
      <c r="Y230" s="4"/>
      <c r="Z230" s="4"/>
    </row>
    <row r="231" ht="15.75" customHeight="1">
      <c r="U231" s="4"/>
      <c r="V231" s="4"/>
      <c r="W231" s="4"/>
      <c r="X231" s="4"/>
      <c r="Y231" s="4"/>
      <c r="Z231" s="4"/>
    </row>
    <row r="232" ht="15.75" customHeight="1">
      <c r="U232" s="4"/>
      <c r="V232" s="4"/>
      <c r="W232" s="4"/>
      <c r="X232" s="4"/>
      <c r="Y232" s="4"/>
      <c r="Z232" s="4"/>
    </row>
    <row r="233" ht="15.75" customHeight="1">
      <c r="U233" s="4"/>
      <c r="V233" s="4"/>
      <c r="W233" s="4"/>
      <c r="X233" s="4"/>
      <c r="Y233" s="4"/>
      <c r="Z233" s="4"/>
    </row>
    <row r="234" ht="15.75" customHeight="1">
      <c r="U234" s="4"/>
      <c r="V234" s="4"/>
      <c r="W234" s="4"/>
      <c r="X234" s="4"/>
      <c r="Y234" s="4"/>
      <c r="Z234" s="4"/>
    </row>
    <row r="235" ht="15.75" customHeight="1">
      <c r="U235" s="4"/>
      <c r="V235" s="4"/>
      <c r="W235" s="4"/>
      <c r="X235" s="4"/>
      <c r="Y235" s="4"/>
      <c r="Z235" s="4"/>
    </row>
    <row r="236" ht="15.75" customHeight="1">
      <c r="U236" s="4"/>
      <c r="V236" s="4"/>
      <c r="W236" s="4"/>
      <c r="X236" s="4"/>
      <c r="Y236" s="4"/>
      <c r="Z236" s="4"/>
    </row>
    <row r="237" ht="15.75" customHeight="1">
      <c r="U237" s="4"/>
      <c r="V237" s="4"/>
      <c r="W237" s="4"/>
      <c r="X237" s="4"/>
      <c r="Y237" s="4"/>
      <c r="Z237" s="4"/>
    </row>
    <row r="238" ht="15.75" customHeight="1">
      <c r="U238" s="4"/>
      <c r="V238" s="4"/>
      <c r="W238" s="4"/>
      <c r="X238" s="4"/>
      <c r="Y238" s="4"/>
      <c r="Z238" s="4"/>
    </row>
    <row r="239" ht="15.75" customHeight="1">
      <c r="U239" s="4"/>
      <c r="V239" s="4"/>
      <c r="W239" s="4"/>
      <c r="X239" s="4"/>
      <c r="Y239" s="4"/>
      <c r="Z239" s="4"/>
    </row>
    <row r="240" ht="15.75" customHeight="1">
      <c r="U240" s="4"/>
      <c r="V240" s="4"/>
      <c r="W240" s="4"/>
      <c r="X240" s="4"/>
      <c r="Y240" s="4"/>
      <c r="Z240" s="4"/>
    </row>
    <row r="241" ht="15.75" customHeight="1">
      <c r="U241" s="4"/>
      <c r="V241" s="4"/>
      <c r="W241" s="4"/>
      <c r="X241" s="4"/>
      <c r="Y241" s="4"/>
      <c r="Z241" s="4"/>
    </row>
    <row r="242" ht="15.75" customHeight="1">
      <c r="U242" s="4"/>
      <c r="V242" s="4"/>
      <c r="W242" s="4"/>
      <c r="X242" s="4"/>
      <c r="Y242" s="4"/>
      <c r="Z242" s="4"/>
    </row>
    <row r="243" ht="15.75" customHeight="1">
      <c r="U243" s="4"/>
      <c r="V243" s="4"/>
      <c r="W243" s="4"/>
      <c r="X243" s="4"/>
      <c r="Y243" s="4"/>
      <c r="Z243" s="4"/>
    </row>
    <row r="244" ht="15.75" customHeight="1">
      <c r="U244" s="4"/>
      <c r="V244" s="4"/>
      <c r="W244" s="4"/>
      <c r="X244" s="4"/>
      <c r="Y244" s="4"/>
      <c r="Z244" s="4"/>
    </row>
    <row r="245" ht="15.75" customHeight="1">
      <c r="U245" s="4"/>
      <c r="V245" s="4"/>
      <c r="W245" s="4"/>
      <c r="X245" s="4"/>
      <c r="Y245" s="4"/>
      <c r="Z245" s="4"/>
    </row>
    <row r="246" ht="15.75" customHeight="1">
      <c r="U246" s="4"/>
      <c r="V246" s="4"/>
      <c r="W246" s="4"/>
      <c r="X246" s="4"/>
      <c r="Y246" s="4"/>
      <c r="Z246" s="4"/>
    </row>
    <row r="247" ht="15.75" customHeight="1">
      <c r="U247" s="4"/>
      <c r="V247" s="4"/>
      <c r="W247" s="4"/>
      <c r="X247" s="4"/>
      <c r="Y247" s="4"/>
      <c r="Z247" s="4"/>
    </row>
    <row r="248" ht="15.75" customHeight="1">
      <c r="U248" s="4"/>
      <c r="V248" s="4"/>
      <c r="W248" s="4"/>
      <c r="X248" s="4"/>
      <c r="Y248" s="4"/>
      <c r="Z248" s="4"/>
    </row>
    <row r="249" ht="15.75" customHeight="1">
      <c r="U249" s="4"/>
      <c r="V249" s="4"/>
      <c r="W249" s="4"/>
      <c r="X249" s="4"/>
      <c r="Y249" s="4"/>
      <c r="Z249" s="4"/>
    </row>
    <row r="250" ht="15.75" customHeight="1">
      <c r="U250" s="4"/>
      <c r="V250" s="4"/>
      <c r="W250" s="4"/>
      <c r="X250" s="4"/>
      <c r="Y250" s="4"/>
      <c r="Z250" s="4"/>
    </row>
    <row r="251" ht="15.75" customHeight="1">
      <c r="U251" s="4"/>
      <c r="V251" s="4"/>
      <c r="W251" s="4"/>
      <c r="X251" s="4"/>
      <c r="Y251" s="4"/>
      <c r="Z251" s="4"/>
    </row>
    <row r="252" ht="15.75" customHeight="1">
      <c r="U252" s="4"/>
      <c r="V252" s="4"/>
      <c r="W252" s="4"/>
      <c r="X252" s="4"/>
      <c r="Y252" s="4"/>
      <c r="Z252" s="4"/>
    </row>
    <row r="253" ht="15.75" customHeight="1">
      <c r="U253" s="4"/>
      <c r="V253" s="4"/>
      <c r="W253" s="4"/>
      <c r="X253" s="4"/>
      <c r="Y253" s="4"/>
      <c r="Z253" s="4"/>
    </row>
    <row r="254" ht="15.75" customHeight="1">
      <c r="U254" s="4"/>
      <c r="V254" s="4"/>
      <c r="W254" s="4"/>
      <c r="X254" s="4"/>
      <c r="Y254" s="4"/>
      <c r="Z254" s="4"/>
    </row>
    <row r="255" ht="15.75" customHeight="1">
      <c r="U255" s="4"/>
      <c r="V255" s="4"/>
      <c r="W255" s="4"/>
      <c r="X255" s="4"/>
      <c r="Y255" s="4"/>
      <c r="Z255" s="4"/>
    </row>
    <row r="256" ht="15.75" customHeight="1">
      <c r="U256" s="4"/>
      <c r="V256" s="4"/>
      <c r="W256" s="4"/>
      <c r="X256" s="4"/>
      <c r="Y256" s="4"/>
      <c r="Z256" s="4"/>
    </row>
    <row r="257" ht="15.75" customHeight="1">
      <c r="U257" s="4"/>
      <c r="V257" s="4"/>
      <c r="W257" s="4"/>
      <c r="X257" s="4"/>
      <c r="Y257" s="4"/>
      <c r="Z257" s="4"/>
    </row>
    <row r="258" ht="15.75" customHeight="1">
      <c r="U258" s="4"/>
      <c r="V258" s="4"/>
      <c r="W258" s="4"/>
      <c r="X258" s="4"/>
      <c r="Y258" s="4"/>
      <c r="Z258" s="4"/>
    </row>
    <row r="259" ht="15.75" customHeight="1">
      <c r="U259" s="4"/>
      <c r="V259" s="4"/>
      <c r="W259" s="4"/>
      <c r="X259" s="4"/>
      <c r="Y259" s="4"/>
      <c r="Z259" s="4"/>
    </row>
    <row r="260" ht="15.75" customHeight="1">
      <c r="U260" s="4"/>
      <c r="V260" s="4"/>
      <c r="W260" s="4"/>
      <c r="X260" s="4"/>
      <c r="Y260" s="4"/>
      <c r="Z260" s="4"/>
    </row>
    <row r="261" ht="15.75" customHeight="1">
      <c r="U261" s="4"/>
      <c r="V261" s="4"/>
      <c r="W261" s="4"/>
      <c r="X261" s="4"/>
      <c r="Y261" s="4"/>
      <c r="Z261" s="4"/>
    </row>
    <row r="262" ht="15.75" customHeight="1">
      <c r="U262" s="4"/>
      <c r="V262" s="4"/>
      <c r="W262" s="4"/>
      <c r="X262" s="4"/>
      <c r="Y262" s="4"/>
      <c r="Z262" s="4"/>
    </row>
    <row r="263" ht="15.75" customHeight="1">
      <c r="U263" s="4"/>
      <c r="V263" s="4"/>
      <c r="W263" s="4"/>
      <c r="X263" s="4"/>
      <c r="Y263" s="4"/>
      <c r="Z263" s="4"/>
    </row>
    <row r="264" ht="15.75" customHeight="1">
      <c r="U264" s="4"/>
      <c r="V264" s="4"/>
      <c r="W264" s="4"/>
      <c r="X264" s="4"/>
      <c r="Y264" s="4"/>
      <c r="Z264" s="4"/>
    </row>
    <row r="265" ht="15.75" customHeight="1">
      <c r="U265" s="4"/>
      <c r="V265" s="4"/>
      <c r="W265" s="4"/>
      <c r="X265" s="4"/>
      <c r="Y265" s="4"/>
      <c r="Z265" s="4"/>
    </row>
    <row r="266" ht="15.75" customHeight="1">
      <c r="U266" s="4"/>
      <c r="V266" s="4"/>
      <c r="W266" s="4"/>
      <c r="X266" s="4"/>
      <c r="Y266" s="4"/>
      <c r="Z266" s="4"/>
    </row>
    <row r="267" ht="15.75" customHeight="1">
      <c r="U267" s="4"/>
      <c r="V267" s="4"/>
      <c r="W267" s="4"/>
      <c r="X267" s="4"/>
      <c r="Y267" s="4"/>
      <c r="Z267" s="4"/>
    </row>
    <row r="268" ht="15.75" customHeight="1">
      <c r="U268" s="4"/>
      <c r="V268" s="4"/>
      <c r="W268" s="4"/>
      <c r="X268" s="4"/>
      <c r="Y268" s="4"/>
      <c r="Z268" s="4"/>
    </row>
    <row r="269" ht="15.75" customHeight="1">
      <c r="U269" s="4"/>
      <c r="V269" s="4"/>
      <c r="W269" s="4"/>
      <c r="X269" s="4"/>
      <c r="Y269" s="4"/>
      <c r="Z269" s="4"/>
    </row>
    <row r="270" ht="15.75" customHeight="1">
      <c r="U270" s="4"/>
      <c r="V270" s="4"/>
      <c r="W270" s="4"/>
      <c r="X270" s="4"/>
      <c r="Y270" s="4"/>
      <c r="Z270" s="4"/>
    </row>
    <row r="271" ht="15.75" customHeight="1">
      <c r="U271" s="4"/>
      <c r="V271" s="4"/>
      <c r="W271" s="4"/>
      <c r="X271" s="4"/>
      <c r="Y271" s="4"/>
      <c r="Z271" s="4"/>
    </row>
    <row r="272" ht="15.75" customHeight="1">
      <c r="U272" s="4"/>
      <c r="V272" s="4"/>
      <c r="W272" s="4"/>
      <c r="X272" s="4"/>
      <c r="Y272" s="4"/>
      <c r="Z272" s="4"/>
    </row>
    <row r="273" ht="15.75" customHeight="1">
      <c r="U273" s="4"/>
      <c r="V273" s="4"/>
      <c r="W273" s="4"/>
      <c r="X273" s="4"/>
      <c r="Y273" s="4"/>
      <c r="Z273" s="4"/>
    </row>
    <row r="274" ht="15.75" customHeight="1">
      <c r="U274" s="4"/>
      <c r="V274" s="4"/>
      <c r="W274" s="4"/>
      <c r="X274" s="4"/>
      <c r="Y274" s="4"/>
      <c r="Z274" s="4"/>
    </row>
    <row r="275" ht="15.75" customHeight="1">
      <c r="U275" s="4"/>
      <c r="V275" s="4"/>
      <c r="W275" s="4"/>
      <c r="X275" s="4"/>
      <c r="Y275" s="4"/>
      <c r="Z275" s="4"/>
    </row>
    <row r="276" ht="15.75" customHeight="1">
      <c r="U276" s="4"/>
      <c r="V276" s="4"/>
      <c r="W276" s="4"/>
      <c r="X276" s="4"/>
      <c r="Y276" s="4"/>
      <c r="Z276" s="4"/>
    </row>
    <row r="277" ht="15.75" customHeight="1">
      <c r="U277" s="4"/>
      <c r="V277" s="4"/>
      <c r="W277" s="4"/>
      <c r="X277" s="4"/>
      <c r="Y277" s="4"/>
      <c r="Z277" s="4"/>
    </row>
    <row r="278" ht="15.75" customHeight="1">
      <c r="U278" s="4"/>
      <c r="V278" s="4"/>
      <c r="W278" s="4"/>
      <c r="X278" s="4"/>
      <c r="Y278" s="4"/>
      <c r="Z278" s="4"/>
    </row>
    <row r="279" ht="15.75" customHeight="1">
      <c r="U279" s="4"/>
      <c r="V279" s="4"/>
      <c r="W279" s="4"/>
      <c r="X279" s="4"/>
      <c r="Y279" s="4"/>
      <c r="Z279" s="4"/>
    </row>
    <row r="280" ht="15.75" customHeight="1">
      <c r="U280" s="4"/>
      <c r="V280" s="4"/>
      <c r="W280" s="4"/>
      <c r="X280" s="4"/>
      <c r="Y280" s="4"/>
      <c r="Z280" s="4"/>
    </row>
    <row r="281" ht="15.75" customHeight="1">
      <c r="U281" s="4"/>
      <c r="V281" s="4"/>
      <c r="W281" s="4"/>
      <c r="X281" s="4"/>
      <c r="Y281" s="4"/>
      <c r="Z281" s="4"/>
    </row>
    <row r="282" ht="15.75" customHeight="1">
      <c r="U282" s="4"/>
      <c r="V282" s="4"/>
      <c r="W282" s="4"/>
      <c r="X282" s="4"/>
      <c r="Y282" s="4"/>
      <c r="Z282" s="4"/>
    </row>
    <row r="283" ht="15.75" customHeight="1">
      <c r="U283" s="4"/>
      <c r="V283" s="4"/>
      <c r="W283" s="4"/>
      <c r="X283" s="4"/>
      <c r="Y283" s="4"/>
      <c r="Z283" s="4"/>
    </row>
    <row r="284" ht="15.75" customHeight="1">
      <c r="U284" s="4"/>
      <c r="V284" s="4"/>
      <c r="W284" s="4"/>
      <c r="X284" s="4"/>
      <c r="Y284" s="4"/>
      <c r="Z284" s="4"/>
    </row>
    <row r="285" ht="15.75" customHeight="1">
      <c r="U285" s="4"/>
      <c r="V285" s="4"/>
      <c r="W285" s="4"/>
      <c r="X285" s="4"/>
      <c r="Y285" s="4"/>
      <c r="Z285" s="4"/>
    </row>
    <row r="286" ht="15.75" customHeight="1">
      <c r="U286" s="4"/>
      <c r="V286" s="4"/>
      <c r="W286" s="4"/>
      <c r="X286" s="4"/>
      <c r="Y286" s="4"/>
      <c r="Z286" s="4"/>
    </row>
    <row r="287" ht="15.75" customHeight="1">
      <c r="U287" s="4"/>
      <c r="V287" s="4"/>
      <c r="W287" s="4"/>
      <c r="X287" s="4"/>
      <c r="Y287" s="4"/>
      <c r="Z287" s="4"/>
    </row>
    <row r="288" ht="15.75" customHeight="1">
      <c r="U288" s="4"/>
      <c r="V288" s="4"/>
      <c r="W288" s="4"/>
      <c r="X288" s="4"/>
      <c r="Y288" s="4"/>
      <c r="Z288" s="4"/>
    </row>
    <row r="289" ht="15.75" customHeight="1">
      <c r="U289" s="4"/>
      <c r="V289" s="4"/>
      <c r="W289" s="4"/>
      <c r="X289" s="4"/>
      <c r="Y289" s="4"/>
      <c r="Z289" s="4"/>
    </row>
    <row r="290" ht="15.75" customHeight="1">
      <c r="U290" s="4"/>
      <c r="V290" s="4"/>
      <c r="W290" s="4"/>
      <c r="X290" s="4"/>
      <c r="Y290" s="4"/>
      <c r="Z290" s="4"/>
    </row>
    <row r="291" ht="15.75" customHeight="1">
      <c r="U291" s="4"/>
      <c r="V291" s="4"/>
      <c r="W291" s="4"/>
      <c r="X291" s="4"/>
      <c r="Y291" s="4"/>
      <c r="Z291" s="4"/>
    </row>
    <row r="292" ht="15.75" customHeight="1">
      <c r="U292" s="4"/>
      <c r="V292" s="4"/>
      <c r="W292" s="4"/>
      <c r="X292" s="4"/>
      <c r="Y292" s="4"/>
      <c r="Z292" s="4"/>
    </row>
    <row r="293" ht="15.75" customHeight="1">
      <c r="U293" s="4"/>
      <c r="V293" s="4"/>
      <c r="W293" s="4"/>
      <c r="X293" s="4"/>
      <c r="Y293" s="4"/>
      <c r="Z293" s="4"/>
    </row>
    <row r="294" ht="15.75" customHeight="1">
      <c r="U294" s="4"/>
      <c r="V294" s="4"/>
      <c r="W294" s="4"/>
      <c r="X294" s="4"/>
      <c r="Y294" s="4"/>
      <c r="Z294" s="4"/>
    </row>
    <row r="295" ht="15.75" customHeight="1">
      <c r="U295" s="4"/>
      <c r="V295" s="4"/>
      <c r="W295" s="4"/>
      <c r="X295" s="4"/>
      <c r="Y295" s="4"/>
      <c r="Z295" s="4"/>
    </row>
    <row r="296" ht="15.75" customHeight="1">
      <c r="U296" s="4"/>
      <c r="V296" s="4"/>
      <c r="W296" s="4"/>
      <c r="X296" s="4"/>
      <c r="Y296" s="4"/>
      <c r="Z296" s="4"/>
    </row>
    <row r="297" ht="15.75" customHeight="1">
      <c r="U297" s="4"/>
      <c r="V297" s="4"/>
      <c r="W297" s="4"/>
      <c r="X297" s="4"/>
      <c r="Y297" s="4"/>
      <c r="Z297" s="4"/>
    </row>
    <row r="298" ht="15.75" customHeight="1">
      <c r="U298" s="4"/>
      <c r="V298" s="4"/>
      <c r="W298" s="4"/>
      <c r="X298" s="4"/>
      <c r="Y298" s="4"/>
      <c r="Z298" s="4"/>
    </row>
    <row r="299" ht="15.75" customHeight="1">
      <c r="U299" s="4"/>
      <c r="V299" s="4"/>
      <c r="W299" s="4"/>
      <c r="X299" s="4"/>
      <c r="Y299" s="4"/>
      <c r="Z299" s="4"/>
    </row>
    <row r="300" ht="15.75" customHeight="1">
      <c r="U300" s="4"/>
      <c r="V300" s="4"/>
      <c r="W300" s="4"/>
      <c r="X300" s="4"/>
      <c r="Y300" s="4"/>
      <c r="Z300" s="4"/>
    </row>
    <row r="301" ht="15.75" customHeight="1">
      <c r="U301" s="4"/>
      <c r="V301" s="4"/>
      <c r="W301" s="4"/>
      <c r="X301" s="4"/>
      <c r="Y301" s="4"/>
      <c r="Z301" s="4"/>
    </row>
    <row r="302" ht="15.75" customHeight="1">
      <c r="U302" s="4"/>
      <c r="V302" s="4"/>
      <c r="W302" s="4"/>
      <c r="X302" s="4"/>
      <c r="Y302" s="4"/>
      <c r="Z302" s="4"/>
    </row>
    <row r="303" ht="15.75" customHeight="1">
      <c r="U303" s="4"/>
      <c r="V303" s="4"/>
      <c r="W303" s="4"/>
      <c r="X303" s="4"/>
      <c r="Y303" s="4"/>
      <c r="Z303" s="4"/>
    </row>
    <row r="304" ht="15.75" customHeight="1">
      <c r="U304" s="4"/>
      <c r="V304" s="4"/>
      <c r="W304" s="4"/>
      <c r="X304" s="4"/>
      <c r="Y304" s="4"/>
      <c r="Z304" s="4"/>
    </row>
    <row r="305" ht="15.75" customHeight="1">
      <c r="U305" s="4"/>
      <c r="V305" s="4"/>
      <c r="W305" s="4"/>
      <c r="X305" s="4"/>
      <c r="Y305" s="4"/>
      <c r="Z305" s="4"/>
    </row>
    <row r="306" ht="15.75" customHeight="1">
      <c r="U306" s="4"/>
      <c r="V306" s="4"/>
      <c r="W306" s="4"/>
      <c r="X306" s="4"/>
      <c r="Y306" s="4"/>
      <c r="Z306" s="4"/>
    </row>
    <row r="307" ht="15.75" customHeight="1">
      <c r="U307" s="4"/>
      <c r="V307" s="4"/>
      <c r="W307" s="4"/>
      <c r="X307" s="4"/>
      <c r="Y307" s="4"/>
      <c r="Z307" s="4"/>
    </row>
    <row r="308" ht="15.75" customHeight="1">
      <c r="U308" s="4"/>
      <c r="V308" s="4"/>
      <c r="W308" s="4"/>
      <c r="X308" s="4"/>
      <c r="Y308" s="4"/>
      <c r="Z308" s="4"/>
    </row>
    <row r="309" ht="15.75" customHeight="1">
      <c r="U309" s="4"/>
      <c r="V309" s="4"/>
      <c r="W309" s="4"/>
      <c r="X309" s="4"/>
      <c r="Y309" s="4"/>
      <c r="Z309" s="4"/>
    </row>
    <row r="310" ht="15.75" customHeight="1">
      <c r="U310" s="4"/>
      <c r="V310" s="4"/>
      <c r="W310" s="4"/>
      <c r="X310" s="4"/>
      <c r="Y310" s="4"/>
      <c r="Z310" s="4"/>
    </row>
    <row r="311" ht="15.75" customHeight="1">
      <c r="U311" s="4"/>
      <c r="V311" s="4"/>
      <c r="W311" s="4"/>
      <c r="X311" s="4"/>
      <c r="Y311" s="4"/>
      <c r="Z311" s="4"/>
    </row>
    <row r="312" ht="15.75" customHeight="1">
      <c r="U312" s="4"/>
      <c r="V312" s="4"/>
      <c r="W312" s="4"/>
      <c r="X312" s="4"/>
      <c r="Y312" s="4"/>
      <c r="Z312" s="4"/>
    </row>
    <row r="313" ht="15.75" customHeight="1">
      <c r="U313" s="4"/>
      <c r="V313" s="4"/>
      <c r="W313" s="4"/>
      <c r="X313" s="4"/>
      <c r="Y313" s="4"/>
      <c r="Z313" s="4"/>
    </row>
    <row r="314" ht="15.75" customHeight="1">
      <c r="U314" s="4"/>
      <c r="V314" s="4"/>
      <c r="W314" s="4"/>
      <c r="X314" s="4"/>
      <c r="Y314" s="4"/>
      <c r="Z314" s="4"/>
    </row>
    <row r="315" ht="15.75" customHeight="1">
      <c r="U315" s="4"/>
      <c r="V315" s="4"/>
      <c r="W315" s="4"/>
      <c r="X315" s="4"/>
      <c r="Y315" s="4"/>
      <c r="Z315" s="4"/>
    </row>
    <row r="316" ht="15.75" customHeight="1">
      <c r="U316" s="4"/>
      <c r="V316" s="4"/>
      <c r="W316" s="4"/>
      <c r="X316" s="4"/>
      <c r="Y316" s="4"/>
      <c r="Z316" s="4"/>
    </row>
    <row r="317" ht="15.75" customHeight="1">
      <c r="U317" s="4"/>
      <c r="V317" s="4"/>
      <c r="W317" s="4"/>
      <c r="X317" s="4"/>
      <c r="Y317" s="4"/>
      <c r="Z317" s="4"/>
    </row>
    <row r="318" ht="15.75" customHeight="1">
      <c r="U318" s="4"/>
      <c r="V318" s="4"/>
      <c r="W318" s="4"/>
      <c r="X318" s="4"/>
      <c r="Y318" s="4"/>
      <c r="Z318" s="4"/>
    </row>
    <row r="319" ht="15.75" customHeight="1">
      <c r="U319" s="4"/>
      <c r="V319" s="4"/>
      <c r="W319" s="4"/>
      <c r="X319" s="4"/>
      <c r="Y319" s="4"/>
      <c r="Z319" s="4"/>
    </row>
    <row r="320" ht="15.75" customHeight="1">
      <c r="U320" s="4"/>
      <c r="V320" s="4"/>
      <c r="W320" s="4"/>
      <c r="X320" s="4"/>
      <c r="Y320" s="4"/>
      <c r="Z320" s="4"/>
    </row>
    <row r="321" ht="15.75" customHeight="1">
      <c r="U321" s="4"/>
      <c r="V321" s="4"/>
      <c r="W321" s="4"/>
      <c r="X321" s="4"/>
      <c r="Y321" s="4"/>
      <c r="Z321" s="4"/>
    </row>
    <row r="322" ht="15.75" customHeight="1">
      <c r="U322" s="4"/>
      <c r="V322" s="4"/>
      <c r="W322" s="4"/>
      <c r="X322" s="4"/>
      <c r="Y322" s="4"/>
      <c r="Z322" s="4"/>
    </row>
    <row r="323" ht="15.75" customHeight="1">
      <c r="U323" s="4"/>
      <c r="V323" s="4"/>
      <c r="W323" s="4"/>
      <c r="X323" s="4"/>
      <c r="Y323" s="4"/>
      <c r="Z323" s="4"/>
    </row>
    <row r="324" ht="15.75" customHeight="1">
      <c r="U324" s="4"/>
      <c r="V324" s="4"/>
      <c r="W324" s="4"/>
      <c r="X324" s="4"/>
      <c r="Y324" s="4"/>
      <c r="Z324" s="4"/>
    </row>
    <row r="325" ht="15.75" customHeight="1">
      <c r="U325" s="4"/>
      <c r="V325" s="4"/>
      <c r="W325" s="4"/>
      <c r="X325" s="4"/>
      <c r="Y325" s="4"/>
      <c r="Z325" s="4"/>
    </row>
    <row r="326" ht="15.75" customHeight="1">
      <c r="U326" s="4"/>
      <c r="V326" s="4"/>
      <c r="W326" s="4"/>
      <c r="X326" s="4"/>
      <c r="Y326" s="4"/>
      <c r="Z326" s="4"/>
    </row>
    <row r="327" ht="15.75" customHeight="1">
      <c r="U327" s="4"/>
      <c r="V327" s="4"/>
      <c r="W327" s="4"/>
      <c r="X327" s="4"/>
      <c r="Y327" s="4"/>
      <c r="Z327" s="4"/>
    </row>
    <row r="328" ht="15.75" customHeight="1">
      <c r="U328" s="4"/>
      <c r="V328" s="4"/>
      <c r="W328" s="4"/>
      <c r="X328" s="4"/>
      <c r="Y328" s="4"/>
      <c r="Z328" s="4"/>
    </row>
    <row r="329" ht="15.75" customHeight="1">
      <c r="U329" s="4"/>
      <c r="V329" s="4"/>
      <c r="W329" s="4"/>
      <c r="X329" s="4"/>
      <c r="Y329" s="4"/>
      <c r="Z329" s="4"/>
    </row>
    <row r="330" ht="15.75" customHeight="1">
      <c r="U330" s="4"/>
      <c r="V330" s="4"/>
      <c r="W330" s="4"/>
      <c r="X330" s="4"/>
      <c r="Y330" s="4"/>
      <c r="Z330" s="4"/>
    </row>
    <row r="331" ht="15.75" customHeight="1">
      <c r="U331" s="4"/>
      <c r="V331" s="4"/>
      <c r="W331" s="4"/>
      <c r="X331" s="4"/>
      <c r="Y331" s="4"/>
      <c r="Z331" s="4"/>
    </row>
    <row r="332" ht="15.75" customHeight="1">
      <c r="U332" s="4"/>
      <c r="V332" s="4"/>
      <c r="W332" s="4"/>
      <c r="X332" s="4"/>
      <c r="Y332" s="4"/>
      <c r="Z332" s="4"/>
    </row>
    <row r="333" ht="15.75" customHeight="1">
      <c r="U333" s="4"/>
      <c r="V333" s="4"/>
      <c r="W333" s="4"/>
      <c r="X333" s="4"/>
      <c r="Y333" s="4"/>
      <c r="Z333" s="4"/>
    </row>
    <row r="334" ht="15.75" customHeight="1">
      <c r="U334" s="4"/>
      <c r="V334" s="4"/>
      <c r="W334" s="4"/>
      <c r="X334" s="4"/>
      <c r="Y334" s="4"/>
      <c r="Z334" s="4"/>
    </row>
    <row r="335" ht="15.75" customHeight="1">
      <c r="U335" s="4"/>
      <c r="V335" s="4"/>
      <c r="W335" s="4"/>
      <c r="X335" s="4"/>
      <c r="Y335" s="4"/>
      <c r="Z335" s="4"/>
    </row>
    <row r="336" ht="15.75" customHeight="1">
      <c r="U336" s="4"/>
      <c r="V336" s="4"/>
      <c r="W336" s="4"/>
      <c r="X336" s="4"/>
      <c r="Y336" s="4"/>
      <c r="Z336" s="4"/>
    </row>
    <row r="337" ht="15.75" customHeight="1">
      <c r="U337" s="4"/>
      <c r="V337" s="4"/>
      <c r="W337" s="4"/>
      <c r="X337" s="4"/>
      <c r="Y337" s="4"/>
      <c r="Z337" s="4"/>
    </row>
    <row r="338" ht="15.75" customHeight="1">
      <c r="U338" s="4"/>
      <c r="V338" s="4"/>
      <c r="W338" s="4"/>
      <c r="X338" s="4"/>
      <c r="Y338" s="4"/>
      <c r="Z338" s="4"/>
    </row>
    <row r="339" ht="15.75" customHeight="1">
      <c r="U339" s="4"/>
      <c r="V339" s="4"/>
      <c r="W339" s="4"/>
      <c r="X339" s="4"/>
      <c r="Y339" s="4"/>
      <c r="Z339" s="4"/>
    </row>
    <row r="340" ht="15.75" customHeight="1">
      <c r="U340" s="4"/>
      <c r="V340" s="4"/>
      <c r="W340" s="4"/>
      <c r="X340" s="4"/>
      <c r="Y340" s="4"/>
      <c r="Z340" s="4"/>
    </row>
    <row r="341" ht="15.75" customHeight="1">
      <c r="U341" s="4"/>
      <c r="V341" s="4"/>
      <c r="W341" s="4"/>
      <c r="X341" s="4"/>
      <c r="Y341" s="4"/>
      <c r="Z341" s="4"/>
    </row>
    <row r="342" ht="15.75" customHeight="1">
      <c r="U342" s="4"/>
      <c r="V342" s="4"/>
      <c r="W342" s="4"/>
      <c r="X342" s="4"/>
      <c r="Y342" s="4"/>
      <c r="Z342" s="4"/>
    </row>
    <row r="343" ht="15.75" customHeight="1">
      <c r="U343" s="4"/>
      <c r="V343" s="4"/>
      <c r="W343" s="4"/>
      <c r="X343" s="4"/>
      <c r="Y343" s="4"/>
      <c r="Z343" s="4"/>
    </row>
    <row r="344" ht="15.75" customHeight="1">
      <c r="U344" s="4"/>
      <c r="V344" s="4"/>
      <c r="W344" s="4"/>
      <c r="X344" s="4"/>
      <c r="Y344" s="4"/>
      <c r="Z344" s="4"/>
    </row>
    <row r="345" ht="15.75" customHeight="1">
      <c r="U345" s="4"/>
      <c r="V345" s="4"/>
      <c r="W345" s="4"/>
      <c r="X345" s="4"/>
      <c r="Y345" s="4"/>
      <c r="Z345" s="4"/>
    </row>
    <row r="346" ht="15.75" customHeight="1">
      <c r="U346" s="4"/>
      <c r="V346" s="4"/>
      <c r="W346" s="4"/>
      <c r="X346" s="4"/>
      <c r="Y346" s="4"/>
      <c r="Z346" s="4"/>
    </row>
    <row r="347" ht="15.75" customHeight="1">
      <c r="U347" s="4"/>
      <c r="V347" s="4"/>
      <c r="W347" s="4"/>
      <c r="X347" s="4"/>
      <c r="Y347" s="4"/>
      <c r="Z347" s="4"/>
    </row>
    <row r="348" ht="15.75" customHeight="1">
      <c r="U348" s="4"/>
      <c r="V348" s="4"/>
      <c r="W348" s="4"/>
      <c r="X348" s="4"/>
      <c r="Y348" s="4"/>
      <c r="Z348" s="4"/>
    </row>
    <row r="349" ht="15.75" customHeight="1">
      <c r="U349" s="4"/>
      <c r="V349" s="4"/>
      <c r="W349" s="4"/>
      <c r="X349" s="4"/>
      <c r="Y349" s="4"/>
      <c r="Z349" s="4"/>
    </row>
    <row r="350" ht="15.75" customHeight="1">
      <c r="U350" s="4"/>
      <c r="V350" s="4"/>
      <c r="W350" s="4"/>
      <c r="X350" s="4"/>
      <c r="Y350" s="4"/>
      <c r="Z350" s="4"/>
    </row>
    <row r="351" ht="15.75" customHeight="1">
      <c r="U351" s="4"/>
      <c r="V351" s="4"/>
      <c r="W351" s="4"/>
      <c r="X351" s="4"/>
      <c r="Y351" s="4"/>
      <c r="Z351" s="4"/>
    </row>
    <row r="352" ht="15.75" customHeight="1">
      <c r="U352" s="4"/>
      <c r="V352" s="4"/>
      <c r="W352" s="4"/>
      <c r="X352" s="4"/>
      <c r="Y352" s="4"/>
      <c r="Z352" s="4"/>
    </row>
    <row r="353" ht="15.75" customHeight="1">
      <c r="U353" s="4"/>
      <c r="V353" s="4"/>
      <c r="W353" s="4"/>
      <c r="X353" s="4"/>
      <c r="Y353" s="4"/>
      <c r="Z353" s="4"/>
    </row>
    <row r="354" ht="15.75" customHeight="1">
      <c r="U354" s="4"/>
      <c r="V354" s="4"/>
      <c r="W354" s="4"/>
      <c r="X354" s="4"/>
      <c r="Y354" s="4"/>
      <c r="Z354" s="4"/>
    </row>
    <row r="355" ht="15.75" customHeight="1">
      <c r="U355" s="4"/>
      <c r="V355" s="4"/>
      <c r="W355" s="4"/>
      <c r="X355" s="4"/>
      <c r="Y355" s="4"/>
      <c r="Z355" s="4"/>
    </row>
    <row r="356" ht="15.75" customHeight="1">
      <c r="U356" s="4"/>
      <c r="V356" s="4"/>
      <c r="W356" s="4"/>
      <c r="X356" s="4"/>
      <c r="Y356" s="4"/>
      <c r="Z356" s="4"/>
    </row>
    <row r="357" ht="15.75" customHeight="1">
      <c r="U357" s="4"/>
      <c r="V357" s="4"/>
      <c r="W357" s="4"/>
      <c r="X357" s="4"/>
      <c r="Y357" s="4"/>
      <c r="Z357" s="4"/>
    </row>
    <row r="358" ht="15.75" customHeight="1">
      <c r="U358" s="4"/>
      <c r="V358" s="4"/>
      <c r="W358" s="4"/>
      <c r="X358" s="4"/>
      <c r="Y358" s="4"/>
      <c r="Z358" s="4"/>
    </row>
    <row r="359" ht="15.75" customHeight="1">
      <c r="U359" s="4"/>
      <c r="V359" s="4"/>
      <c r="W359" s="4"/>
      <c r="X359" s="4"/>
      <c r="Y359" s="4"/>
      <c r="Z359" s="4"/>
    </row>
    <row r="360" ht="15.75" customHeight="1">
      <c r="U360" s="4"/>
      <c r="V360" s="4"/>
      <c r="W360" s="4"/>
      <c r="X360" s="4"/>
      <c r="Y360" s="4"/>
      <c r="Z360" s="4"/>
    </row>
    <row r="361" ht="15.75" customHeight="1">
      <c r="U361" s="4"/>
      <c r="V361" s="4"/>
      <c r="W361" s="4"/>
      <c r="X361" s="4"/>
      <c r="Y361" s="4"/>
      <c r="Z361" s="4"/>
    </row>
    <row r="362" ht="15.75" customHeight="1">
      <c r="U362" s="4"/>
      <c r="V362" s="4"/>
      <c r="W362" s="4"/>
      <c r="X362" s="4"/>
      <c r="Y362" s="4"/>
      <c r="Z362" s="4"/>
    </row>
    <row r="363" ht="15.75" customHeight="1">
      <c r="U363" s="4"/>
      <c r="V363" s="4"/>
      <c r="W363" s="4"/>
      <c r="X363" s="4"/>
      <c r="Y363" s="4"/>
      <c r="Z363" s="4"/>
    </row>
    <row r="364" ht="15.75" customHeight="1">
      <c r="U364" s="4"/>
      <c r="V364" s="4"/>
      <c r="W364" s="4"/>
      <c r="X364" s="4"/>
      <c r="Y364" s="4"/>
      <c r="Z364" s="4"/>
    </row>
    <row r="365" ht="15.75" customHeight="1">
      <c r="U365" s="4"/>
      <c r="V365" s="4"/>
      <c r="W365" s="4"/>
      <c r="X365" s="4"/>
      <c r="Y365" s="4"/>
      <c r="Z365" s="4"/>
    </row>
    <row r="366" ht="15.75" customHeight="1">
      <c r="U366" s="4"/>
      <c r="V366" s="4"/>
      <c r="W366" s="4"/>
      <c r="X366" s="4"/>
      <c r="Y366" s="4"/>
      <c r="Z366" s="4"/>
    </row>
    <row r="367" ht="15.75" customHeight="1">
      <c r="U367" s="4"/>
      <c r="V367" s="4"/>
      <c r="W367" s="4"/>
      <c r="X367" s="4"/>
      <c r="Y367" s="4"/>
      <c r="Z367" s="4"/>
    </row>
    <row r="368" ht="15.75" customHeight="1">
      <c r="U368" s="4"/>
      <c r="V368" s="4"/>
      <c r="W368" s="4"/>
      <c r="X368" s="4"/>
      <c r="Y368" s="4"/>
      <c r="Z368" s="4"/>
    </row>
    <row r="369" ht="15.75" customHeight="1">
      <c r="U369" s="4"/>
      <c r="V369" s="4"/>
      <c r="W369" s="4"/>
      <c r="X369" s="4"/>
      <c r="Y369" s="4"/>
      <c r="Z369" s="4"/>
    </row>
    <row r="370" ht="15.75" customHeight="1">
      <c r="U370" s="4"/>
      <c r="V370" s="4"/>
      <c r="W370" s="4"/>
      <c r="X370" s="4"/>
      <c r="Y370" s="4"/>
      <c r="Z370" s="4"/>
    </row>
    <row r="371" ht="15.75" customHeight="1">
      <c r="U371" s="4"/>
      <c r="V371" s="4"/>
      <c r="W371" s="4"/>
      <c r="X371" s="4"/>
      <c r="Y371" s="4"/>
      <c r="Z371" s="4"/>
    </row>
    <row r="372" ht="15.75" customHeight="1">
      <c r="U372" s="4"/>
      <c r="V372" s="4"/>
      <c r="W372" s="4"/>
      <c r="X372" s="4"/>
      <c r="Y372" s="4"/>
      <c r="Z372" s="4"/>
    </row>
    <row r="373" ht="15.75" customHeight="1">
      <c r="U373" s="4"/>
      <c r="V373" s="4"/>
      <c r="W373" s="4"/>
      <c r="X373" s="4"/>
      <c r="Y373" s="4"/>
      <c r="Z373" s="4"/>
    </row>
    <row r="374" ht="15.75" customHeight="1">
      <c r="U374" s="4"/>
      <c r="V374" s="4"/>
      <c r="W374" s="4"/>
      <c r="X374" s="4"/>
      <c r="Y374" s="4"/>
      <c r="Z374" s="4"/>
    </row>
    <row r="375" ht="15.75" customHeight="1">
      <c r="U375" s="4"/>
      <c r="V375" s="4"/>
      <c r="W375" s="4"/>
      <c r="X375" s="4"/>
      <c r="Y375" s="4"/>
      <c r="Z375" s="4"/>
    </row>
    <row r="376" ht="15.75" customHeight="1">
      <c r="U376" s="4"/>
      <c r="V376" s="4"/>
      <c r="W376" s="4"/>
      <c r="X376" s="4"/>
      <c r="Y376" s="4"/>
      <c r="Z376" s="4"/>
    </row>
    <row r="377" ht="15.75" customHeight="1">
      <c r="U377" s="4"/>
      <c r="V377" s="4"/>
      <c r="W377" s="4"/>
      <c r="X377" s="4"/>
      <c r="Y377" s="4"/>
      <c r="Z377" s="4"/>
    </row>
    <row r="378" ht="15.75" customHeight="1">
      <c r="U378" s="4"/>
      <c r="V378" s="4"/>
      <c r="W378" s="4"/>
      <c r="X378" s="4"/>
      <c r="Y378" s="4"/>
      <c r="Z378" s="4"/>
    </row>
    <row r="379" ht="15.75" customHeight="1">
      <c r="U379" s="4"/>
      <c r="V379" s="4"/>
      <c r="W379" s="4"/>
      <c r="X379" s="4"/>
      <c r="Y379" s="4"/>
      <c r="Z379" s="4"/>
    </row>
    <row r="380" ht="15.75" customHeight="1">
      <c r="U380" s="4"/>
      <c r="V380" s="4"/>
      <c r="W380" s="4"/>
      <c r="X380" s="4"/>
      <c r="Y380" s="4"/>
      <c r="Z380" s="4"/>
    </row>
    <row r="381" ht="15.75" customHeight="1">
      <c r="U381" s="4"/>
      <c r="V381" s="4"/>
      <c r="W381" s="4"/>
      <c r="X381" s="4"/>
      <c r="Y381" s="4"/>
      <c r="Z381" s="4"/>
    </row>
    <row r="382" ht="15.75" customHeight="1">
      <c r="U382" s="4"/>
      <c r="V382" s="4"/>
      <c r="W382" s="4"/>
      <c r="X382" s="4"/>
      <c r="Y382" s="4"/>
      <c r="Z382" s="4"/>
    </row>
    <row r="383" ht="15.75" customHeight="1">
      <c r="U383" s="4"/>
      <c r="V383" s="4"/>
      <c r="W383" s="4"/>
      <c r="X383" s="4"/>
      <c r="Y383" s="4"/>
      <c r="Z383" s="4"/>
    </row>
    <row r="384" ht="15.75" customHeight="1">
      <c r="U384" s="4"/>
      <c r="V384" s="4"/>
      <c r="W384" s="4"/>
      <c r="X384" s="4"/>
      <c r="Y384" s="4"/>
      <c r="Z384" s="4"/>
    </row>
    <row r="385" ht="15.75" customHeight="1">
      <c r="U385" s="4"/>
      <c r="V385" s="4"/>
      <c r="W385" s="4"/>
      <c r="X385" s="4"/>
      <c r="Y385" s="4"/>
      <c r="Z385" s="4"/>
    </row>
    <row r="386" ht="15.75" customHeight="1">
      <c r="U386" s="4"/>
      <c r="V386" s="4"/>
      <c r="W386" s="4"/>
      <c r="X386" s="4"/>
      <c r="Y386" s="4"/>
      <c r="Z386" s="4"/>
    </row>
    <row r="387" ht="15.75" customHeight="1">
      <c r="U387" s="4"/>
      <c r="V387" s="4"/>
      <c r="W387" s="4"/>
      <c r="X387" s="4"/>
      <c r="Y387" s="4"/>
      <c r="Z387" s="4"/>
    </row>
    <row r="388" ht="15.75" customHeight="1">
      <c r="U388" s="4"/>
      <c r="V388" s="4"/>
      <c r="W388" s="4"/>
      <c r="X388" s="4"/>
      <c r="Y388" s="4"/>
      <c r="Z388" s="4"/>
    </row>
    <row r="389" ht="15.75" customHeight="1">
      <c r="U389" s="4"/>
      <c r="V389" s="4"/>
      <c r="W389" s="4"/>
      <c r="X389" s="4"/>
      <c r="Y389" s="4"/>
      <c r="Z389" s="4"/>
    </row>
    <row r="390" ht="15.75" customHeight="1">
      <c r="U390" s="4"/>
      <c r="V390" s="4"/>
      <c r="W390" s="4"/>
      <c r="X390" s="4"/>
      <c r="Y390" s="4"/>
      <c r="Z390" s="4"/>
    </row>
    <row r="391" ht="15.75" customHeight="1">
      <c r="U391" s="4"/>
      <c r="V391" s="4"/>
      <c r="W391" s="4"/>
      <c r="X391" s="4"/>
      <c r="Y391" s="4"/>
      <c r="Z391" s="4"/>
    </row>
    <row r="392" ht="15.75" customHeight="1">
      <c r="U392" s="4"/>
      <c r="V392" s="4"/>
      <c r="W392" s="4"/>
      <c r="X392" s="4"/>
      <c r="Y392" s="4"/>
      <c r="Z392" s="4"/>
    </row>
    <row r="393" ht="15.75" customHeight="1">
      <c r="U393" s="4"/>
      <c r="V393" s="4"/>
      <c r="W393" s="4"/>
      <c r="X393" s="4"/>
      <c r="Y393" s="4"/>
      <c r="Z393" s="4"/>
    </row>
    <row r="394" ht="15.75" customHeight="1">
      <c r="U394" s="4"/>
      <c r="V394" s="4"/>
      <c r="W394" s="4"/>
      <c r="X394" s="4"/>
      <c r="Y394" s="4"/>
      <c r="Z394" s="4"/>
    </row>
    <row r="395" ht="15.75" customHeight="1">
      <c r="U395" s="4"/>
      <c r="V395" s="4"/>
      <c r="W395" s="4"/>
      <c r="X395" s="4"/>
      <c r="Y395" s="4"/>
      <c r="Z395" s="4"/>
    </row>
    <row r="396" ht="15.75" customHeight="1">
      <c r="U396" s="4"/>
      <c r="V396" s="4"/>
      <c r="W396" s="4"/>
      <c r="X396" s="4"/>
      <c r="Y396" s="4"/>
      <c r="Z396" s="4"/>
    </row>
    <row r="397" ht="15.75" customHeight="1">
      <c r="U397" s="4"/>
      <c r="V397" s="4"/>
      <c r="W397" s="4"/>
      <c r="X397" s="4"/>
      <c r="Y397" s="4"/>
      <c r="Z397" s="4"/>
    </row>
    <row r="398" ht="15.75" customHeight="1">
      <c r="U398" s="4"/>
      <c r="V398" s="4"/>
      <c r="W398" s="4"/>
      <c r="X398" s="4"/>
      <c r="Y398" s="4"/>
      <c r="Z398" s="4"/>
    </row>
    <row r="399" ht="15.75" customHeight="1">
      <c r="U399" s="4"/>
      <c r="V399" s="4"/>
      <c r="W399" s="4"/>
      <c r="X399" s="4"/>
      <c r="Y399" s="4"/>
      <c r="Z399" s="4"/>
    </row>
    <row r="400" ht="15.75" customHeight="1">
      <c r="U400" s="4"/>
      <c r="V400" s="4"/>
      <c r="W400" s="4"/>
      <c r="X400" s="4"/>
      <c r="Y400" s="4"/>
      <c r="Z400" s="4"/>
    </row>
    <row r="401" ht="15.75" customHeight="1">
      <c r="U401" s="4"/>
      <c r="V401" s="4"/>
      <c r="W401" s="4"/>
      <c r="X401" s="4"/>
      <c r="Y401" s="4"/>
      <c r="Z401" s="4"/>
    </row>
    <row r="402" ht="15.75" customHeight="1">
      <c r="U402" s="4"/>
      <c r="V402" s="4"/>
      <c r="W402" s="4"/>
      <c r="X402" s="4"/>
      <c r="Y402" s="4"/>
      <c r="Z402" s="4"/>
    </row>
    <row r="403" ht="15.75" customHeight="1">
      <c r="U403" s="4"/>
      <c r="V403" s="4"/>
      <c r="W403" s="4"/>
      <c r="X403" s="4"/>
      <c r="Y403" s="4"/>
      <c r="Z403" s="4"/>
    </row>
    <row r="404" ht="15.75" customHeight="1">
      <c r="U404" s="4"/>
      <c r="V404" s="4"/>
      <c r="W404" s="4"/>
      <c r="X404" s="4"/>
      <c r="Y404" s="4"/>
      <c r="Z404" s="4"/>
    </row>
    <row r="405" ht="15.75" customHeight="1">
      <c r="U405" s="4"/>
      <c r="V405" s="4"/>
      <c r="W405" s="4"/>
      <c r="X405" s="4"/>
      <c r="Y405" s="4"/>
      <c r="Z405" s="4"/>
    </row>
    <row r="406" ht="15.75" customHeight="1">
      <c r="U406" s="4"/>
      <c r="V406" s="4"/>
      <c r="W406" s="4"/>
      <c r="X406" s="4"/>
      <c r="Y406" s="4"/>
      <c r="Z406" s="4"/>
    </row>
    <row r="407" ht="15.75" customHeight="1">
      <c r="U407" s="4"/>
      <c r="V407" s="4"/>
      <c r="W407" s="4"/>
      <c r="X407" s="4"/>
      <c r="Y407" s="4"/>
      <c r="Z407" s="4"/>
    </row>
    <row r="408" ht="15.75" customHeight="1">
      <c r="U408" s="4"/>
      <c r="V408" s="4"/>
      <c r="W408" s="4"/>
      <c r="X408" s="4"/>
      <c r="Y408" s="4"/>
      <c r="Z408" s="4"/>
    </row>
    <row r="409" ht="15.75" customHeight="1">
      <c r="U409" s="4"/>
      <c r="V409" s="4"/>
      <c r="W409" s="4"/>
      <c r="X409" s="4"/>
      <c r="Y409" s="4"/>
      <c r="Z409" s="4"/>
    </row>
    <row r="410" ht="15.75" customHeight="1">
      <c r="U410" s="4"/>
      <c r="V410" s="4"/>
      <c r="W410" s="4"/>
      <c r="X410" s="4"/>
      <c r="Y410" s="4"/>
      <c r="Z410" s="4"/>
    </row>
    <row r="411" ht="15.75" customHeight="1">
      <c r="U411" s="4"/>
      <c r="V411" s="4"/>
      <c r="W411" s="4"/>
      <c r="X411" s="4"/>
      <c r="Y411" s="4"/>
      <c r="Z411" s="4"/>
    </row>
    <row r="412" ht="15.75" customHeight="1">
      <c r="U412" s="4"/>
      <c r="V412" s="4"/>
      <c r="W412" s="4"/>
      <c r="X412" s="4"/>
      <c r="Y412" s="4"/>
      <c r="Z412" s="4"/>
    </row>
    <row r="413" ht="15.75" customHeight="1">
      <c r="U413" s="4"/>
      <c r="V413" s="4"/>
      <c r="W413" s="4"/>
      <c r="X413" s="4"/>
      <c r="Y413" s="4"/>
      <c r="Z413" s="4"/>
    </row>
    <row r="414" ht="15.75" customHeight="1">
      <c r="U414" s="4"/>
      <c r="V414" s="4"/>
      <c r="W414" s="4"/>
      <c r="X414" s="4"/>
      <c r="Y414" s="4"/>
      <c r="Z414" s="4"/>
    </row>
    <row r="415" ht="15.75" customHeight="1">
      <c r="U415" s="4"/>
      <c r="V415" s="4"/>
      <c r="W415" s="4"/>
      <c r="X415" s="4"/>
      <c r="Y415" s="4"/>
      <c r="Z415" s="4"/>
    </row>
    <row r="416" ht="15.75" customHeight="1">
      <c r="U416" s="4"/>
      <c r="V416" s="4"/>
      <c r="W416" s="4"/>
      <c r="X416" s="4"/>
      <c r="Y416" s="4"/>
      <c r="Z416" s="4"/>
    </row>
    <row r="417" ht="15.75" customHeight="1">
      <c r="U417" s="4"/>
      <c r="V417" s="4"/>
      <c r="W417" s="4"/>
      <c r="X417" s="4"/>
      <c r="Y417" s="4"/>
      <c r="Z417" s="4"/>
    </row>
    <row r="418" ht="15.75" customHeight="1">
      <c r="U418" s="4"/>
      <c r="V418" s="4"/>
      <c r="W418" s="4"/>
      <c r="X418" s="4"/>
      <c r="Y418" s="4"/>
      <c r="Z418" s="4"/>
    </row>
    <row r="419" ht="15.75" customHeight="1">
      <c r="U419" s="4"/>
      <c r="V419" s="4"/>
      <c r="W419" s="4"/>
      <c r="X419" s="4"/>
      <c r="Y419" s="4"/>
      <c r="Z419" s="4"/>
    </row>
    <row r="420" ht="15.75" customHeight="1">
      <c r="U420" s="4"/>
      <c r="V420" s="4"/>
      <c r="W420" s="4"/>
      <c r="X420" s="4"/>
      <c r="Y420" s="4"/>
      <c r="Z420" s="4"/>
    </row>
    <row r="421" ht="15.75" customHeight="1">
      <c r="U421" s="4"/>
      <c r="V421" s="4"/>
      <c r="W421" s="4"/>
      <c r="X421" s="4"/>
      <c r="Y421" s="4"/>
      <c r="Z421" s="4"/>
    </row>
    <row r="422" ht="15.75" customHeight="1">
      <c r="U422" s="4"/>
      <c r="V422" s="4"/>
      <c r="W422" s="4"/>
      <c r="X422" s="4"/>
      <c r="Y422" s="4"/>
      <c r="Z422" s="4"/>
    </row>
    <row r="423" ht="15.75" customHeight="1">
      <c r="U423" s="4"/>
      <c r="V423" s="4"/>
      <c r="W423" s="4"/>
      <c r="X423" s="4"/>
      <c r="Y423" s="4"/>
      <c r="Z423" s="4"/>
    </row>
    <row r="424" ht="15.75" customHeight="1">
      <c r="U424" s="4"/>
      <c r="V424" s="4"/>
      <c r="W424" s="4"/>
      <c r="X424" s="4"/>
      <c r="Y424" s="4"/>
      <c r="Z424" s="4"/>
    </row>
    <row r="425" ht="15.75" customHeight="1">
      <c r="U425" s="4"/>
      <c r="V425" s="4"/>
      <c r="W425" s="4"/>
      <c r="X425" s="4"/>
      <c r="Y425" s="4"/>
      <c r="Z425" s="4"/>
    </row>
    <row r="426" ht="15.75" customHeight="1">
      <c r="U426" s="4"/>
      <c r="V426" s="4"/>
      <c r="W426" s="4"/>
      <c r="X426" s="4"/>
      <c r="Y426" s="4"/>
      <c r="Z426" s="4"/>
    </row>
    <row r="427" ht="15.75" customHeight="1">
      <c r="U427" s="4"/>
      <c r="V427" s="4"/>
      <c r="W427" s="4"/>
      <c r="X427" s="4"/>
      <c r="Y427" s="4"/>
      <c r="Z427" s="4"/>
    </row>
    <row r="428" ht="15.75" customHeight="1">
      <c r="U428" s="4"/>
      <c r="V428" s="4"/>
      <c r="W428" s="4"/>
      <c r="X428" s="4"/>
      <c r="Y428" s="4"/>
      <c r="Z428" s="4"/>
    </row>
    <row r="429" ht="15.75" customHeight="1">
      <c r="U429" s="4"/>
      <c r="V429" s="4"/>
      <c r="W429" s="4"/>
      <c r="X429" s="4"/>
      <c r="Y429" s="4"/>
      <c r="Z429" s="4"/>
    </row>
    <row r="430" ht="15.75" customHeight="1">
      <c r="U430" s="4"/>
      <c r="V430" s="4"/>
      <c r="W430" s="4"/>
      <c r="X430" s="4"/>
      <c r="Y430" s="4"/>
      <c r="Z430" s="4"/>
    </row>
    <row r="431" ht="15.75" customHeight="1">
      <c r="U431" s="4"/>
      <c r="V431" s="4"/>
      <c r="W431" s="4"/>
      <c r="X431" s="4"/>
      <c r="Y431" s="4"/>
      <c r="Z431" s="4"/>
    </row>
    <row r="432" ht="15.75" customHeight="1">
      <c r="U432" s="4"/>
      <c r="V432" s="4"/>
      <c r="W432" s="4"/>
      <c r="X432" s="4"/>
      <c r="Y432" s="4"/>
      <c r="Z432" s="4"/>
    </row>
    <row r="433" ht="15.75" customHeight="1">
      <c r="U433" s="4"/>
      <c r="V433" s="4"/>
      <c r="W433" s="4"/>
      <c r="X433" s="4"/>
      <c r="Y433" s="4"/>
      <c r="Z433" s="4"/>
    </row>
    <row r="434" ht="15.75" customHeight="1">
      <c r="U434" s="4"/>
      <c r="V434" s="4"/>
      <c r="W434" s="4"/>
      <c r="X434" s="4"/>
      <c r="Y434" s="4"/>
      <c r="Z434" s="4"/>
    </row>
    <row r="435" ht="15.75" customHeight="1">
      <c r="U435" s="4"/>
      <c r="V435" s="4"/>
      <c r="W435" s="4"/>
      <c r="X435" s="4"/>
      <c r="Y435" s="4"/>
      <c r="Z435" s="4"/>
    </row>
    <row r="436" ht="15.75" customHeight="1">
      <c r="U436" s="4"/>
      <c r="V436" s="4"/>
      <c r="W436" s="4"/>
      <c r="X436" s="4"/>
      <c r="Y436" s="4"/>
      <c r="Z436" s="4"/>
    </row>
    <row r="437" ht="15.75" customHeight="1">
      <c r="U437" s="4"/>
      <c r="V437" s="4"/>
      <c r="W437" s="4"/>
      <c r="X437" s="4"/>
      <c r="Y437" s="4"/>
      <c r="Z437" s="4"/>
    </row>
    <row r="438" ht="15.75" customHeight="1">
      <c r="U438" s="4"/>
      <c r="V438" s="4"/>
      <c r="W438" s="4"/>
      <c r="X438" s="4"/>
      <c r="Y438" s="4"/>
      <c r="Z438" s="4"/>
    </row>
    <row r="439" ht="15.75" customHeight="1">
      <c r="U439" s="4"/>
      <c r="V439" s="4"/>
      <c r="W439" s="4"/>
      <c r="X439" s="4"/>
      <c r="Y439" s="4"/>
      <c r="Z439" s="4"/>
    </row>
    <row r="440" ht="15.75" customHeight="1">
      <c r="U440" s="4"/>
      <c r="V440" s="4"/>
      <c r="W440" s="4"/>
      <c r="X440" s="4"/>
      <c r="Y440" s="4"/>
      <c r="Z440" s="4"/>
    </row>
    <row r="441" ht="15.75" customHeight="1">
      <c r="U441" s="4"/>
      <c r="V441" s="4"/>
      <c r="W441" s="4"/>
      <c r="X441" s="4"/>
      <c r="Y441" s="4"/>
      <c r="Z441" s="4"/>
    </row>
    <row r="442" ht="15.75" customHeight="1">
      <c r="U442" s="4"/>
      <c r="V442" s="4"/>
      <c r="W442" s="4"/>
      <c r="X442" s="4"/>
      <c r="Y442" s="4"/>
      <c r="Z442" s="4"/>
    </row>
    <row r="443" ht="15.75" customHeight="1">
      <c r="U443" s="4"/>
      <c r="V443" s="4"/>
      <c r="W443" s="4"/>
      <c r="X443" s="4"/>
      <c r="Y443" s="4"/>
      <c r="Z443" s="4"/>
    </row>
    <row r="444" ht="15.75" customHeight="1">
      <c r="U444" s="4"/>
      <c r="V444" s="4"/>
      <c r="W444" s="4"/>
      <c r="X444" s="4"/>
      <c r="Y444" s="4"/>
      <c r="Z444" s="4"/>
    </row>
    <row r="445" ht="15.75" customHeight="1">
      <c r="U445" s="4"/>
      <c r="V445" s="4"/>
      <c r="W445" s="4"/>
      <c r="X445" s="4"/>
      <c r="Y445" s="4"/>
      <c r="Z445" s="4"/>
    </row>
    <row r="446" ht="15.75" customHeight="1">
      <c r="U446" s="4"/>
      <c r="V446" s="4"/>
      <c r="W446" s="4"/>
      <c r="X446" s="4"/>
      <c r="Y446" s="4"/>
      <c r="Z446" s="4"/>
    </row>
    <row r="447" ht="15.75" customHeight="1">
      <c r="U447" s="4"/>
      <c r="V447" s="4"/>
      <c r="W447" s="4"/>
      <c r="X447" s="4"/>
      <c r="Y447" s="4"/>
      <c r="Z447" s="4"/>
    </row>
    <row r="448" ht="15.75" customHeight="1">
      <c r="U448" s="4"/>
      <c r="V448" s="4"/>
      <c r="W448" s="4"/>
      <c r="X448" s="4"/>
      <c r="Y448" s="4"/>
      <c r="Z448" s="4"/>
    </row>
    <row r="449" ht="15.75" customHeight="1">
      <c r="U449" s="4"/>
      <c r="V449" s="4"/>
      <c r="W449" s="4"/>
      <c r="X449" s="4"/>
      <c r="Y449" s="4"/>
      <c r="Z449" s="4"/>
    </row>
    <row r="450" ht="15.75" customHeight="1">
      <c r="U450" s="4"/>
      <c r="V450" s="4"/>
      <c r="W450" s="4"/>
      <c r="X450" s="4"/>
      <c r="Y450" s="4"/>
      <c r="Z450" s="4"/>
    </row>
    <row r="451" ht="15.75" customHeight="1">
      <c r="U451" s="4"/>
      <c r="V451" s="4"/>
      <c r="W451" s="4"/>
      <c r="X451" s="4"/>
      <c r="Y451" s="4"/>
      <c r="Z451" s="4"/>
    </row>
    <row r="452" ht="15.75" customHeight="1">
      <c r="U452" s="4"/>
      <c r="V452" s="4"/>
      <c r="W452" s="4"/>
      <c r="X452" s="4"/>
      <c r="Y452" s="4"/>
      <c r="Z452" s="4"/>
    </row>
    <row r="453" ht="15.75" customHeight="1">
      <c r="U453" s="4"/>
      <c r="V453" s="4"/>
      <c r="W453" s="4"/>
      <c r="X453" s="4"/>
      <c r="Y453" s="4"/>
      <c r="Z453" s="4"/>
    </row>
    <row r="454" ht="15.75" customHeight="1">
      <c r="U454" s="4"/>
      <c r="V454" s="4"/>
      <c r="W454" s="4"/>
      <c r="X454" s="4"/>
      <c r="Y454" s="4"/>
      <c r="Z454" s="4"/>
    </row>
    <row r="455" ht="15.75" customHeight="1">
      <c r="U455" s="4"/>
      <c r="V455" s="4"/>
      <c r="W455" s="4"/>
      <c r="X455" s="4"/>
      <c r="Y455" s="4"/>
      <c r="Z455" s="4"/>
    </row>
    <row r="456" ht="15.75" customHeight="1">
      <c r="U456" s="4"/>
      <c r="V456" s="4"/>
      <c r="W456" s="4"/>
      <c r="X456" s="4"/>
      <c r="Y456" s="4"/>
      <c r="Z456" s="4"/>
    </row>
    <row r="457" ht="15.75" customHeight="1">
      <c r="U457" s="4"/>
      <c r="V457" s="4"/>
      <c r="W457" s="4"/>
      <c r="X457" s="4"/>
      <c r="Y457" s="4"/>
      <c r="Z457" s="4"/>
    </row>
    <row r="458" ht="15.75" customHeight="1">
      <c r="U458" s="4"/>
      <c r="V458" s="4"/>
      <c r="W458" s="4"/>
      <c r="X458" s="4"/>
      <c r="Y458" s="4"/>
      <c r="Z458" s="4"/>
    </row>
    <row r="459" ht="15.75" customHeight="1">
      <c r="U459" s="4"/>
      <c r="V459" s="4"/>
      <c r="W459" s="4"/>
      <c r="X459" s="4"/>
      <c r="Y459" s="4"/>
      <c r="Z459" s="4"/>
    </row>
    <row r="460" ht="15.75" customHeight="1">
      <c r="U460" s="4"/>
      <c r="V460" s="4"/>
      <c r="W460" s="4"/>
      <c r="X460" s="4"/>
      <c r="Y460" s="4"/>
      <c r="Z460" s="4"/>
    </row>
    <row r="461" ht="15.75" customHeight="1">
      <c r="U461" s="4"/>
      <c r="V461" s="4"/>
      <c r="W461" s="4"/>
      <c r="X461" s="4"/>
      <c r="Y461" s="4"/>
      <c r="Z461" s="4"/>
    </row>
    <row r="462" ht="15.75" customHeight="1">
      <c r="U462" s="4"/>
      <c r="V462" s="4"/>
      <c r="W462" s="4"/>
      <c r="X462" s="4"/>
      <c r="Y462" s="4"/>
      <c r="Z462" s="4"/>
    </row>
    <row r="463" ht="15.75" customHeight="1">
      <c r="U463" s="4"/>
      <c r="V463" s="4"/>
      <c r="W463" s="4"/>
      <c r="X463" s="4"/>
      <c r="Y463" s="4"/>
      <c r="Z463" s="4"/>
    </row>
    <row r="464" ht="15.75" customHeight="1">
      <c r="U464" s="4"/>
      <c r="V464" s="4"/>
      <c r="W464" s="4"/>
      <c r="X464" s="4"/>
      <c r="Y464" s="4"/>
      <c r="Z464" s="4"/>
    </row>
    <row r="465" ht="15.75" customHeight="1">
      <c r="U465" s="4"/>
      <c r="V465" s="4"/>
      <c r="W465" s="4"/>
      <c r="X465" s="4"/>
      <c r="Y465" s="4"/>
      <c r="Z465" s="4"/>
    </row>
    <row r="466" ht="15.75" customHeight="1">
      <c r="U466" s="4"/>
      <c r="V466" s="4"/>
      <c r="W466" s="4"/>
      <c r="X466" s="4"/>
      <c r="Y466" s="4"/>
      <c r="Z466" s="4"/>
    </row>
    <row r="467" ht="15.75" customHeight="1">
      <c r="U467" s="4"/>
      <c r="V467" s="4"/>
      <c r="W467" s="4"/>
      <c r="X467" s="4"/>
      <c r="Y467" s="4"/>
      <c r="Z467" s="4"/>
    </row>
    <row r="468" ht="15.75" customHeight="1">
      <c r="U468" s="4"/>
      <c r="V468" s="4"/>
      <c r="W468" s="4"/>
      <c r="X468" s="4"/>
      <c r="Y468" s="4"/>
      <c r="Z468" s="4"/>
    </row>
    <row r="469" ht="15.75" customHeight="1">
      <c r="U469" s="4"/>
      <c r="V469" s="4"/>
      <c r="W469" s="4"/>
      <c r="X469" s="4"/>
      <c r="Y469" s="4"/>
      <c r="Z469" s="4"/>
    </row>
    <row r="470" ht="15.75" customHeight="1">
      <c r="U470" s="4"/>
      <c r="V470" s="4"/>
      <c r="W470" s="4"/>
      <c r="X470" s="4"/>
      <c r="Y470" s="4"/>
      <c r="Z470" s="4"/>
    </row>
    <row r="471" ht="15.75" customHeight="1">
      <c r="U471" s="4"/>
      <c r="V471" s="4"/>
      <c r="W471" s="4"/>
      <c r="X471" s="4"/>
      <c r="Y471" s="4"/>
      <c r="Z471" s="4"/>
    </row>
    <row r="472" ht="15.75" customHeight="1">
      <c r="U472" s="4"/>
      <c r="V472" s="4"/>
      <c r="W472" s="4"/>
      <c r="X472" s="4"/>
      <c r="Y472" s="4"/>
      <c r="Z472" s="4"/>
    </row>
    <row r="473" ht="15.75" customHeight="1">
      <c r="U473" s="4"/>
      <c r="V473" s="4"/>
      <c r="W473" s="4"/>
      <c r="X473" s="4"/>
      <c r="Y473" s="4"/>
      <c r="Z473" s="4"/>
    </row>
    <row r="474" ht="15.75" customHeight="1">
      <c r="U474" s="4"/>
      <c r="V474" s="4"/>
      <c r="W474" s="4"/>
      <c r="X474" s="4"/>
      <c r="Y474" s="4"/>
      <c r="Z474" s="4"/>
    </row>
    <row r="475" ht="15.75" customHeight="1">
      <c r="U475" s="4"/>
      <c r="V475" s="4"/>
      <c r="W475" s="4"/>
      <c r="X475" s="4"/>
      <c r="Y475" s="4"/>
      <c r="Z475" s="4"/>
    </row>
    <row r="476" ht="15.75" customHeight="1">
      <c r="U476" s="4"/>
      <c r="V476" s="4"/>
      <c r="W476" s="4"/>
      <c r="X476" s="4"/>
      <c r="Y476" s="4"/>
      <c r="Z476" s="4"/>
    </row>
    <row r="477" ht="15.75" customHeight="1">
      <c r="U477" s="4"/>
      <c r="V477" s="4"/>
      <c r="W477" s="4"/>
      <c r="X477" s="4"/>
      <c r="Y477" s="4"/>
      <c r="Z477" s="4"/>
    </row>
    <row r="478" ht="15.75" customHeight="1">
      <c r="U478" s="4"/>
      <c r="V478" s="4"/>
      <c r="W478" s="4"/>
      <c r="X478" s="4"/>
      <c r="Y478" s="4"/>
      <c r="Z478" s="4"/>
    </row>
    <row r="479" ht="15.75" customHeight="1">
      <c r="U479" s="4"/>
      <c r="V479" s="4"/>
      <c r="W479" s="4"/>
      <c r="X479" s="4"/>
      <c r="Y479" s="4"/>
      <c r="Z479" s="4"/>
    </row>
    <row r="480" ht="15.75" customHeight="1">
      <c r="U480" s="4"/>
      <c r="V480" s="4"/>
      <c r="W480" s="4"/>
      <c r="X480" s="4"/>
      <c r="Y480" s="4"/>
      <c r="Z480" s="4"/>
    </row>
    <row r="481" ht="15.75" customHeight="1">
      <c r="U481" s="4"/>
      <c r="V481" s="4"/>
      <c r="W481" s="4"/>
      <c r="X481" s="4"/>
      <c r="Y481" s="4"/>
      <c r="Z481" s="4"/>
    </row>
    <row r="482" ht="15.75" customHeight="1">
      <c r="U482" s="4"/>
      <c r="V482" s="4"/>
      <c r="W482" s="4"/>
      <c r="X482" s="4"/>
      <c r="Y482" s="4"/>
      <c r="Z482" s="4"/>
    </row>
    <row r="483" ht="15.75" customHeight="1">
      <c r="U483" s="4"/>
      <c r="V483" s="4"/>
      <c r="W483" s="4"/>
      <c r="X483" s="4"/>
      <c r="Y483" s="4"/>
      <c r="Z483" s="4"/>
    </row>
    <row r="484" ht="15.75" customHeight="1">
      <c r="U484" s="4"/>
      <c r="V484" s="4"/>
      <c r="W484" s="4"/>
      <c r="X484" s="4"/>
      <c r="Y484" s="4"/>
      <c r="Z484" s="4"/>
    </row>
    <row r="485" ht="15.75" customHeight="1">
      <c r="U485" s="4"/>
      <c r="V485" s="4"/>
      <c r="W485" s="4"/>
      <c r="X485" s="4"/>
      <c r="Y485" s="4"/>
      <c r="Z485" s="4"/>
    </row>
    <row r="486" ht="15.75" customHeight="1">
      <c r="U486" s="4"/>
      <c r="V486" s="4"/>
      <c r="W486" s="4"/>
      <c r="X486" s="4"/>
      <c r="Y486" s="4"/>
      <c r="Z486" s="4"/>
    </row>
    <row r="487" ht="15.75" customHeight="1">
      <c r="U487" s="4"/>
      <c r="V487" s="4"/>
      <c r="W487" s="4"/>
      <c r="X487" s="4"/>
      <c r="Y487" s="4"/>
      <c r="Z487" s="4"/>
    </row>
    <row r="488" ht="15.75" customHeight="1">
      <c r="U488" s="4"/>
      <c r="V488" s="4"/>
      <c r="W488" s="4"/>
      <c r="X488" s="4"/>
      <c r="Y488" s="4"/>
      <c r="Z488" s="4"/>
    </row>
    <row r="489" ht="15.75" customHeight="1">
      <c r="U489" s="4"/>
      <c r="V489" s="4"/>
      <c r="W489" s="4"/>
      <c r="X489" s="4"/>
      <c r="Y489" s="4"/>
      <c r="Z489" s="4"/>
    </row>
    <row r="490" ht="15.75" customHeight="1">
      <c r="U490" s="4"/>
      <c r="V490" s="4"/>
      <c r="W490" s="4"/>
      <c r="X490" s="4"/>
      <c r="Y490" s="4"/>
      <c r="Z490" s="4"/>
    </row>
    <row r="491" ht="15.75" customHeight="1">
      <c r="U491" s="4"/>
      <c r="V491" s="4"/>
      <c r="W491" s="4"/>
      <c r="X491" s="4"/>
      <c r="Y491" s="4"/>
      <c r="Z491" s="4"/>
    </row>
    <row r="492" ht="15.75" customHeight="1">
      <c r="U492" s="4"/>
      <c r="V492" s="4"/>
      <c r="W492" s="4"/>
      <c r="X492" s="4"/>
      <c r="Y492" s="4"/>
      <c r="Z492" s="4"/>
    </row>
    <row r="493" ht="15.75" customHeight="1">
      <c r="U493" s="4"/>
      <c r="V493" s="4"/>
      <c r="W493" s="4"/>
      <c r="X493" s="4"/>
      <c r="Y493" s="4"/>
      <c r="Z493" s="4"/>
    </row>
    <row r="494" ht="15.75" customHeight="1">
      <c r="U494" s="4"/>
      <c r="V494" s="4"/>
      <c r="W494" s="4"/>
      <c r="X494" s="4"/>
      <c r="Y494" s="4"/>
      <c r="Z494" s="4"/>
    </row>
    <row r="495" ht="15.75" customHeight="1">
      <c r="U495" s="4"/>
      <c r="V495" s="4"/>
      <c r="W495" s="4"/>
      <c r="X495" s="4"/>
      <c r="Y495" s="4"/>
      <c r="Z495" s="4"/>
    </row>
    <row r="496" ht="15.75" customHeight="1">
      <c r="U496" s="4"/>
      <c r="V496" s="4"/>
      <c r="W496" s="4"/>
      <c r="X496" s="4"/>
      <c r="Y496" s="4"/>
      <c r="Z496" s="4"/>
    </row>
    <row r="497" ht="15.75" customHeight="1">
      <c r="U497" s="4"/>
      <c r="V497" s="4"/>
      <c r="W497" s="4"/>
      <c r="X497" s="4"/>
      <c r="Y497" s="4"/>
      <c r="Z497" s="4"/>
    </row>
    <row r="498" ht="15.75" customHeight="1">
      <c r="U498" s="4"/>
      <c r="V498" s="4"/>
      <c r="W498" s="4"/>
      <c r="X498" s="4"/>
      <c r="Y498" s="4"/>
      <c r="Z498" s="4"/>
    </row>
    <row r="499" ht="15.75" customHeight="1">
      <c r="U499" s="4"/>
      <c r="V499" s="4"/>
      <c r="W499" s="4"/>
      <c r="X499" s="4"/>
      <c r="Y499" s="4"/>
      <c r="Z499" s="4"/>
    </row>
    <row r="500" ht="15.75" customHeight="1">
      <c r="U500" s="4"/>
      <c r="V500" s="4"/>
      <c r="W500" s="4"/>
      <c r="X500" s="4"/>
      <c r="Y500" s="4"/>
      <c r="Z500" s="4"/>
    </row>
    <row r="501" ht="15.75" customHeight="1">
      <c r="U501" s="4"/>
      <c r="V501" s="4"/>
      <c r="W501" s="4"/>
      <c r="X501" s="4"/>
      <c r="Y501" s="4"/>
      <c r="Z501" s="4"/>
    </row>
    <row r="502" ht="15.75" customHeight="1">
      <c r="U502" s="4"/>
      <c r="V502" s="4"/>
      <c r="W502" s="4"/>
      <c r="X502" s="4"/>
      <c r="Y502" s="4"/>
      <c r="Z502" s="4"/>
    </row>
    <row r="503" ht="15.75" customHeight="1">
      <c r="U503" s="4"/>
      <c r="V503" s="4"/>
      <c r="W503" s="4"/>
      <c r="X503" s="4"/>
      <c r="Y503" s="4"/>
      <c r="Z503" s="4"/>
    </row>
    <row r="504" ht="15.75" customHeight="1">
      <c r="U504" s="4"/>
      <c r="V504" s="4"/>
      <c r="W504" s="4"/>
      <c r="X504" s="4"/>
      <c r="Y504" s="4"/>
      <c r="Z504" s="4"/>
    </row>
    <row r="505" ht="15.75" customHeight="1">
      <c r="U505" s="4"/>
      <c r="V505" s="4"/>
      <c r="W505" s="4"/>
      <c r="X505" s="4"/>
      <c r="Y505" s="4"/>
      <c r="Z505" s="4"/>
    </row>
    <row r="506" ht="15.75" customHeight="1">
      <c r="U506" s="4"/>
      <c r="V506" s="4"/>
      <c r="W506" s="4"/>
      <c r="X506" s="4"/>
      <c r="Y506" s="4"/>
      <c r="Z506" s="4"/>
    </row>
    <row r="507" ht="15.75" customHeight="1">
      <c r="U507" s="4"/>
      <c r="V507" s="4"/>
      <c r="W507" s="4"/>
      <c r="X507" s="4"/>
      <c r="Y507" s="4"/>
      <c r="Z507" s="4"/>
    </row>
    <row r="508" ht="15.75" customHeight="1">
      <c r="U508" s="4"/>
      <c r="V508" s="4"/>
      <c r="W508" s="4"/>
      <c r="X508" s="4"/>
      <c r="Y508" s="4"/>
      <c r="Z508" s="4"/>
    </row>
    <row r="509" ht="15.75" customHeight="1">
      <c r="U509" s="4"/>
      <c r="V509" s="4"/>
      <c r="W509" s="4"/>
      <c r="X509" s="4"/>
      <c r="Y509" s="4"/>
      <c r="Z509" s="4"/>
    </row>
    <row r="510" ht="15.75" customHeight="1">
      <c r="U510" s="4"/>
      <c r="V510" s="4"/>
      <c r="W510" s="4"/>
      <c r="X510" s="4"/>
      <c r="Y510" s="4"/>
      <c r="Z510" s="4"/>
    </row>
    <row r="511" ht="15.75" customHeight="1">
      <c r="U511" s="4"/>
      <c r="V511" s="4"/>
      <c r="W511" s="4"/>
      <c r="X511" s="4"/>
      <c r="Y511" s="4"/>
      <c r="Z511" s="4"/>
    </row>
    <row r="512" ht="15.75" customHeight="1">
      <c r="U512" s="4"/>
      <c r="V512" s="4"/>
      <c r="W512" s="4"/>
      <c r="X512" s="4"/>
      <c r="Y512" s="4"/>
      <c r="Z512" s="4"/>
    </row>
    <row r="513" ht="15.75" customHeight="1">
      <c r="U513" s="4"/>
      <c r="V513" s="4"/>
      <c r="W513" s="4"/>
      <c r="X513" s="4"/>
      <c r="Y513" s="4"/>
      <c r="Z513" s="4"/>
    </row>
    <row r="514" ht="15.75" customHeight="1">
      <c r="U514" s="4"/>
      <c r="V514" s="4"/>
      <c r="W514" s="4"/>
      <c r="X514" s="4"/>
      <c r="Y514" s="4"/>
      <c r="Z514" s="4"/>
    </row>
    <row r="515" ht="15.75" customHeight="1">
      <c r="U515" s="4"/>
      <c r="V515" s="4"/>
      <c r="W515" s="4"/>
      <c r="X515" s="4"/>
      <c r="Y515" s="4"/>
      <c r="Z515" s="4"/>
    </row>
    <row r="516" ht="15.75" customHeight="1">
      <c r="U516" s="4"/>
      <c r="V516" s="4"/>
      <c r="W516" s="4"/>
      <c r="X516" s="4"/>
      <c r="Y516" s="4"/>
      <c r="Z516" s="4"/>
    </row>
    <row r="517" ht="15.75" customHeight="1">
      <c r="U517" s="4"/>
      <c r="V517" s="4"/>
      <c r="W517" s="4"/>
      <c r="X517" s="4"/>
      <c r="Y517" s="4"/>
      <c r="Z517" s="4"/>
    </row>
    <row r="518" ht="15.75" customHeight="1">
      <c r="U518" s="4"/>
      <c r="V518" s="4"/>
      <c r="W518" s="4"/>
      <c r="X518" s="4"/>
      <c r="Y518" s="4"/>
      <c r="Z518" s="4"/>
    </row>
    <row r="519" ht="15.75" customHeight="1">
      <c r="U519" s="4"/>
      <c r="V519" s="4"/>
      <c r="W519" s="4"/>
      <c r="X519" s="4"/>
      <c r="Y519" s="4"/>
      <c r="Z519" s="4"/>
    </row>
    <row r="520" ht="15.75" customHeight="1">
      <c r="U520" s="4"/>
      <c r="V520" s="4"/>
      <c r="W520" s="4"/>
      <c r="X520" s="4"/>
      <c r="Y520" s="4"/>
      <c r="Z520" s="4"/>
    </row>
    <row r="521" ht="15.75" customHeight="1">
      <c r="U521" s="4"/>
      <c r="V521" s="4"/>
      <c r="W521" s="4"/>
      <c r="X521" s="4"/>
      <c r="Y521" s="4"/>
      <c r="Z521" s="4"/>
    </row>
    <row r="522" ht="15.75" customHeight="1">
      <c r="U522" s="4"/>
      <c r="V522" s="4"/>
      <c r="W522" s="4"/>
      <c r="X522" s="4"/>
      <c r="Y522" s="4"/>
      <c r="Z522" s="4"/>
    </row>
    <row r="523" ht="15.75" customHeight="1">
      <c r="U523" s="4"/>
      <c r="V523" s="4"/>
      <c r="W523" s="4"/>
      <c r="X523" s="4"/>
      <c r="Y523" s="4"/>
      <c r="Z523" s="4"/>
    </row>
    <row r="524" ht="15.75" customHeight="1">
      <c r="U524" s="4"/>
      <c r="V524" s="4"/>
      <c r="W524" s="4"/>
      <c r="X524" s="4"/>
      <c r="Y524" s="4"/>
      <c r="Z524" s="4"/>
    </row>
    <row r="525" ht="15.75" customHeight="1">
      <c r="U525" s="4"/>
      <c r="V525" s="4"/>
      <c r="W525" s="4"/>
      <c r="X525" s="4"/>
      <c r="Y525" s="4"/>
      <c r="Z525" s="4"/>
    </row>
    <row r="526" ht="15.75" customHeight="1">
      <c r="U526" s="4"/>
      <c r="V526" s="4"/>
      <c r="W526" s="4"/>
      <c r="X526" s="4"/>
      <c r="Y526" s="4"/>
      <c r="Z526" s="4"/>
    </row>
    <row r="527" ht="15.75" customHeight="1">
      <c r="U527" s="4"/>
      <c r="V527" s="4"/>
      <c r="W527" s="4"/>
      <c r="X527" s="4"/>
      <c r="Y527" s="4"/>
      <c r="Z527" s="4"/>
    </row>
    <row r="528" ht="15.75" customHeight="1">
      <c r="U528" s="4"/>
      <c r="V528" s="4"/>
      <c r="W528" s="4"/>
      <c r="X528" s="4"/>
      <c r="Y528" s="4"/>
      <c r="Z528" s="4"/>
    </row>
    <row r="529" ht="15.75" customHeight="1">
      <c r="U529" s="4"/>
      <c r="V529" s="4"/>
      <c r="W529" s="4"/>
      <c r="X529" s="4"/>
      <c r="Y529" s="4"/>
      <c r="Z529" s="4"/>
    </row>
    <row r="530" ht="15.75" customHeight="1">
      <c r="U530" s="4"/>
      <c r="V530" s="4"/>
      <c r="W530" s="4"/>
      <c r="X530" s="4"/>
      <c r="Y530" s="4"/>
      <c r="Z530" s="4"/>
    </row>
    <row r="531" ht="15.75" customHeight="1">
      <c r="U531" s="4"/>
      <c r="V531" s="4"/>
      <c r="W531" s="4"/>
      <c r="X531" s="4"/>
      <c r="Y531" s="4"/>
      <c r="Z531" s="4"/>
    </row>
    <row r="532" ht="15.75" customHeight="1">
      <c r="U532" s="4"/>
      <c r="V532" s="4"/>
      <c r="W532" s="4"/>
      <c r="X532" s="4"/>
      <c r="Y532" s="4"/>
      <c r="Z532" s="4"/>
    </row>
    <row r="533" ht="15.75" customHeight="1">
      <c r="U533" s="4"/>
      <c r="V533" s="4"/>
      <c r="W533" s="4"/>
      <c r="X533" s="4"/>
      <c r="Y533" s="4"/>
      <c r="Z533" s="4"/>
    </row>
    <row r="534" ht="15.75" customHeight="1">
      <c r="U534" s="4"/>
      <c r="V534" s="4"/>
      <c r="W534" s="4"/>
      <c r="X534" s="4"/>
      <c r="Y534" s="4"/>
      <c r="Z534" s="4"/>
    </row>
    <row r="535" ht="15.75" customHeight="1">
      <c r="U535" s="4"/>
      <c r="V535" s="4"/>
      <c r="W535" s="4"/>
      <c r="X535" s="4"/>
      <c r="Y535" s="4"/>
      <c r="Z535" s="4"/>
    </row>
    <row r="536" ht="15.75" customHeight="1">
      <c r="U536" s="4"/>
      <c r="V536" s="4"/>
      <c r="W536" s="4"/>
      <c r="X536" s="4"/>
      <c r="Y536" s="4"/>
      <c r="Z536" s="4"/>
    </row>
    <row r="537" ht="15.75" customHeight="1">
      <c r="U537" s="4"/>
      <c r="V537" s="4"/>
      <c r="W537" s="4"/>
      <c r="X537" s="4"/>
      <c r="Y537" s="4"/>
      <c r="Z537" s="4"/>
    </row>
    <row r="538" ht="15.75" customHeight="1">
      <c r="U538" s="4"/>
      <c r="V538" s="4"/>
      <c r="W538" s="4"/>
      <c r="X538" s="4"/>
      <c r="Y538" s="4"/>
      <c r="Z538" s="4"/>
    </row>
    <row r="539" ht="15.75" customHeight="1">
      <c r="U539" s="4"/>
      <c r="V539" s="4"/>
      <c r="W539" s="4"/>
      <c r="X539" s="4"/>
      <c r="Y539" s="4"/>
      <c r="Z539" s="4"/>
    </row>
    <row r="540" ht="15.75" customHeight="1">
      <c r="U540" s="4"/>
      <c r="V540" s="4"/>
      <c r="W540" s="4"/>
      <c r="X540" s="4"/>
      <c r="Y540" s="4"/>
      <c r="Z540" s="4"/>
    </row>
    <row r="541" ht="15.75" customHeight="1">
      <c r="U541" s="4"/>
      <c r="V541" s="4"/>
      <c r="W541" s="4"/>
      <c r="X541" s="4"/>
      <c r="Y541" s="4"/>
      <c r="Z541" s="4"/>
    </row>
    <row r="542" ht="15.75" customHeight="1">
      <c r="U542" s="4"/>
      <c r="V542" s="4"/>
      <c r="W542" s="4"/>
      <c r="X542" s="4"/>
      <c r="Y542" s="4"/>
      <c r="Z542" s="4"/>
    </row>
    <row r="543" ht="15.75" customHeight="1">
      <c r="U543" s="4"/>
      <c r="V543" s="4"/>
      <c r="W543" s="4"/>
      <c r="X543" s="4"/>
      <c r="Y543" s="4"/>
      <c r="Z543" s="4"/>
    </row>
    <row r="544" ht="15.75" customHeight="1">
      <c r="U544" s="4"/>
      <c r="V544" s="4"/>
      <c r="W544" s="4"/>
      <c r="X544" s="4"/>
      <c r="Y544" s="4"/>
      <c r="Z544" s="4"/>
    </row>
    <row r="545" ht="15.75" customHeight="1">
      <c r="U545" s="4"/>
      <c r="V545" s="4"/>
      <c r="W545" s="4"/>
      <c r="X545" s="4"/>
      <c r="Y545" s="4"/>
      <c r="Z545" s="4"/>
    </row>
    <row r="546" ht="15.75" customHeight="1">
      <c r="U546" s="4"/>
      <c r="V546" s="4"/>
      <c r="W546" s="4"/>
      <c r="X546" s="4"/>
      <c r="Y546" s="4"/>
      <c r="Z546" s="4"/>
    </row>
    <row r="547" ht="15.75" customHeight="1">
      <c r="U547" s="4"/>
      <c r="V547" s="4"/>
      <c r="W547" s="4"/>
      <c r="X547" s="4"/>
      <c r="Y547" s="4"/>
      <c r="Z547" s="4"/>
    </row>
    <row r="548" ht="15.75" customHeight="1">
      <c r="U548" s="4"/>
      <c r="V548" s="4"/>
      <c r="W548" s="4"/>
      <c r="X548" s="4"/>
      <c r="Y548" s="4"/>
      <c r="Z548" s="4"/>
    </row>
    <row r="549" ht="15.75" customHeight="1">
      <c r="U549" s="4"/>
      <c r="V549" s="4"/>
      <c r="W549" s="4"/>
      <c r="X549" s="4"/>
      <c r="Y549" s="4"/>
      <c r="Z549" s="4"/>
    </row>
    <row r="550" ht="15.75" customHeight="1">
      <c r="U550" s="4"/>
      <c r="V550" s="4"/>
      <c r="W550" s="4"/>
      <c r="X550" s="4"/>
      <c r="Y550" s="4"/>
      <c r="Z550" s="4"/>
    </row>
    <row r="551" ht="15.75" customHeight="1">
      <c r="U551" s="4"/>
      <c r="V551" s="4"/>
      <c r="W551" s="4"/>
      <c r="X551" s="4"/>
      <c r="Y551" s="4"/>
      <c r="Z551" s="4"/>
    </row>
    <row r="552" ht="15.75" customHeight="1">
      <c r="U552" s="4"/>
      <c r="V552" s="4"/>
      <c r="W552" s="4"/>
      <c r="X552" s="4"/>
      <c r="Y552" s="4"/>
      <c r="Z552" s="4"/>
    </row>
    <row r="553" ht="15.75" customHeight="1">
      <c r="U553" s="4"/>
      <c r="V553" s="4"/>
      <c r="W553" s="4"/>
      <c r="X553" s="4"/>
      <c r="Y553" s="4"/>
      <c r="Z553" s="4"/>
    </row>
    <row r="554" ht="15.75" customHeight="1">
      <c r="U554" s="4"/>
      <c r="V554" s="4"/>
      <c r="W554" s="4"/>
      <c r="X554" s="4"/>
      <c r="Y554" s="4"/>
      <c r="Z554" s="4"/>
    </row>
    <row r="555" ht="15.75" customHeight="1">
      <c r="U555" s="4"/>
      <c r="V555" s="4"/>
      <c r="W555" s="4"/>
      <c r="X555" s="4"/>
      <c r="Y555" s="4"/>
      <c r="Z555" s="4"/>
    </row>
    <row r="556" ht="15.75" customHeight="1">
      <c r="U556" s="4"/>
      <c r="V556" s="4"/>
      <c r="W556" s="4"/>
      <c r="X556" s="4"/>
      <c r="Y556" s="4"/>
      <c r="Z556" s="4"/>
    </row>
    <row r="557" ht="15.75" customHeight="1">
      <c r="U557" s="4"/>
      <c r="V557" s="4"/>
      <c r="W557" s="4"/>
      <c r="X557" s="4"/>
      <c r="Y557" s="4"/>
      <c r="Z557" s="4"/>
    </row>
    <row r="558" ht="15.75" customHeight="1">
      <c r="U558" s="4"/>
      <c r="V558" s="4"/>
      <c r="W558" s="4"/>
      <c r="X558" s="4"/>
      <c r="Y558" s="4"/>
      <c r="Z558" s="4"/>
    </row>
    <row r="559" ht="15.75" customHeight="1">
      <c r="U559" s="4"/>
      <c r="V559" s="4"/>
      <c r="W559" s="4"/>
      <c r="X559" s="4"/>
      <c r="Y559" s="4"/>
      <c r="Z559" s="4"/>
    </row>
    <row r="560" ht="15.75" customHeight="1">
      <c r="U560" s="4"/>
      <c r="V560" s="4"/>
      <c r="W560" s="4"/>
      <c r="X560" s="4"/>
      <c r="Y560" s="4"/>
      <c r="Z560" s="4"/>
    </row>
    <row r="561" ht="15.75" customHeight="1">
      <c r="U561" s="4"/>
      <c r="V561" s="4"/>
      <c r="W561" s="4"/>
      <c r="X561" s="4"/>
      <c r="Y561" s="4"/>
      <c r="Z561" s="4"/>
    </row>
    <row r="562" ht="15.75" customHeight="1">
      <c r="U562" s="4"/>
      <c r="V562" s="4"/>
      <c r="W562" s="4"/>
      <c r="X562" s="4"/>
      <c r="Y562" s="4"/>
      <c r="Z562" s="4"/>
    </row>
    <row r="563" ht="15.75" customHeight="1">
      <c r="U563" s="4"/>
      <c r="V563" s="4"/>
      <c r="W563" s="4"/>
      <c r="X563" s="4"/>
      <c r="Y563" s="4"/>
      <c r="Z563" s="4"/>
    </row>
    <row r="564" ht="15.75" customHeight="1">
      <c r="U564" s="4"/>
      <c r="V564" s="4"/>
      <c r="W564" s="4"/>
      <c r="X564" s="4"/>
      <c r="Y564" s="4"/>
      <c r="Z564" s="4"/>
    </row>
    <row r="565" ht="15.75" customHeight="1">
      <c r="U565" s="4"/>
      <c r="V565" s="4"/>
      <c r="W565" s="4"/>
      <c r="X565" s="4"/>
      <c r="Y565" s="4"/>
      <c r="Z565" s="4"/>
    </row>
    <row r="566" ht="15.75" customHeight="1">
      <c r="U566" s="4"/>
      <c r="V566" s="4"/>
      <c r="W566" s="4"/>
      <c r="X566" s="4"/>
      <c r="Y566" s="4"/>
      <c r="Z566" s="4"/>
    </row>
    <row r="567" ht="15.75" customHeight="1">
      <c r="U567" s="4"/>
      <c r="V567" s="4"/>
      <c r="W567" s="4"/>
      <c r="X567" s="4"/>
      <c r="Y567" s="4"/>
      <c r="Z567" s="4"/>
    </row>
    <row r="568" ht="15.75" customHeight="1">
      <c r="U568" s="4"/>
      <c r="V568" s="4"/>
      <c r="W568" s="4"/>
      <c r="X568" s="4"/>
      <c r="Y568" s="4"/>
      <c r="Z568" s="4"/>
    </row>
    <row r="569" ht="15.75" customHeight="1">
      <c r="U569" s="4"/>
      <c r="V569" s="4"/>
      <c r="W569" s="4"/>
      <c r="X569" s="4"/>
      <c r="Y569" s="4"/>
      <c r="Z569" s="4"/>
    </row>
    <row r="570" ht="15.75" customHeight="1">
      <c r="U570" s="4"/>
      <c r="V570" s="4"/>
      <c r="W570" s="4"/>
      <c r="X570" s="4"/>
      <c r="Y570" s="4"/>
      <c r="Z570" s="4"/>
    </row>
    <row r="571" ht="15.75" customHeight="1">
      <c r="U571" s="4"/>
      <c r="V571" s="4"/>
      <c r="W571" s="4"/>
      <c r="X571" s="4"/>
      <c r="Y571" s="4"/>
      <c r="Z571" s="4"/>
    </row>
    <row r="572" ht="15.75" customHeight="1">
      <c r="U572" s="4"/>
      <c r="V572" s="4"/>
      <c r="W572" s="4"/>
      <c r="X572" s="4"/>
      <c r="Y572" s="4"/>
      <c r="Z572" s="4"/>
    </row>
    <row r="573" ht="15.75" customHeight="1">
      <c r="U573" s="4"/>
      <c r="V573" s="4"/>
      <c r="W573" s="4"/>
      <c r="X573" s="4"/>
      <c r="Y573" s="4"/>
      <c r="Z573" s="4"/>
    </row>
    <row r="574" ht="15.75" customHeight="1">
      <c r="U574" s="4"/>
      <c r="V574" s="4"/>
      <c r="W574" s="4"/>
      <c r="X574" s="4"/>
      <c r="Y574" s="4"/>
      <c r="Z574" s="4"/>
    </row>
    <row r="575" ht="15.75" customHeight="1">
      <c r="U575" s="4"/>
      <c r="V575" s="4"/>
      <c r="W575" s="4"/>
      <c r="X575" s="4"/>
      <c r="Y575" s="4"/>
      <c r="Z575" s="4"/>
    </row>
    <row r="576" ht="15.75" customHeight="1">
      <c r="U576" s="4"/>
      <c r="V576" s="4"/>
      <c r="W576" s="4"/>
      <c r="X576" s="4"/>
      <c r="Y576" s="4"/>
      <c r="Z576" s="4"/>
    </row>
    <row r="577" ht="15.75" customHeight="1">
      <c r="U577" s="4"/>
      <c r="V577" s="4"/>
      <c r="W577" s="4"/>
      <c r="X577" s="4"/>
      <c r="Y577" s="4"/>
      <c r="Z577" s="4"/>
    </row>
    <row r="578" ht="15.75" customHeight="1">
      <c r="U578" s="4"/>
      <c r="V578" s="4"/>
      <c r="W578" s="4"/>
      <c r="X578" s="4"/>
      <c r="Y578" s="4"/>
      <c r="Z578" s="4"/>
    </row>
    <row r="579" ht="15.75" customHeight="1">
      <c r="U579" s="4"/>
      <c r="V579" s="4"/>
      <c r="W579" s="4"/>
      <c r="X579" s="4"/>
      <c r="Y579" s="4"/>
      <c r="Z579" s="4"/>
    </row>
    <row r="580" ht="15.75" customHeight="1">
      <c r="U580" s="4"/>
      <c r="V580" s="4"/>
      <c r="W580" s="4"/>
      <c r="X580" s="4"/>
      <c r="Y580" s="4"/>
      <c r="Z580" s="4"/>
    </row>
    <row r="581" ht="15.75" customHeight="1">
      <c r="U581" s="4"/>
      <c r="V581" s="4"/>
      <c r="W581" s="4"/>
      <c r="X581" s="4"/>
      <c r="Y581" s="4"/>
      <c r="Z581" s="4"/>
    </row>
    <row r="582" ht="15.75" customHeight="1">
      <c r="U582" s="4"/>
      <c r="V582" s="4"/>
      <c r="W582" s="4"/>
      <c r="X582" s="4"/>
      <c r="Y582" s="4"/>
      <c r="Z582" s="4"/>
    </row>
    <row r="583" ht="15.75" customHeight="1">
      <c r="U583" s="4"/>
      <c r="V583" s="4"/>
      <c r="W583" s="4"/>
      <c r="X583" s="4"/>
      <c r="Y583" s="4"/>
      <c r="Z583" s="4"/>
    </row>
    <row r="584" ht="15.75" customHeight="1">
      <c r="U584" s="4"/>
      <c r="V584" s="4"/>
      <c r="W584" s="4"/>
      <c r="X584" s="4"/>
      <c r="Y584" s="4"/>
      <c r="Z584" s="4"/>
    </row>
    <row r="585" ht="15.75" customHeight="1">
      <c r="U585" s="4"/>
      <c r="V585" s="4"/>
      <c r="W585" s="4"/>
      <c r="X585" s="4"/>
      <c r="Y585" s="4"/>
      <c r="Z585" s="4"/>
    </row>
    <row r="586" ht="15.75" customHeight="1">
      <c r="U586" s="4"/>
      <c r="V586" s="4"/>
      <c r="W586" s="4"/>
      <c r="X586" s="4"/>
      <c r="Y586" s="4"/>
      <c r="Z586" s="4"/>
    </row>
    <row r="587" ht="15.75" customHeight="1">
      <c r="U587" s="4"/>
      <c r="V587" s="4"/>
      <c r="W587" s="4"/>
      <c r="X587" s="4"/>
      <c r="Y587" s="4"/>
      <c r="Z587" s="4"/>
    </row>
    <row r="588" ht="15.75" customHeight="1">
      <c r="U588" s="4"/>
      <c r="V588" s="4"/>
      <c r="W588" s="4"/>
      <c r="X588" s="4"/>
      <c r="Y588" s="4"/>
      <c r="Z588" s="4"/>
    </row>
    <row r="589" ht="15.75" customHeight="1">
      <c r="U589" s="4"/>
      <c r="V589" s="4"/>
      <c r="W589" s="4"/>
      <c r="X589" s="4"/>
      <c r="Y589" s="4"/>
      <c r="Z589" s="4"/>
    </row>
    <row r="590" ht="15.75" customHeight="1">
      <c r="U590" s="4"/>
      <c r="V590" s="4"/>
      <c r="W590" s="4"/>
      <c r="X590" s="4"/>
      <c r="Y590" s="4"/>
      <c r="Z590" s="4"/>
    </row>
    <row r="591" ht="15.75" customHeight="1">
      <c r="U591" s="4"/>
      <c r="V591" s="4"/>
      <c r="W591" s="4"/>
      <c r="X591" s="4"/>
      <c r="Y591" s="4"/>
      <c r="Z591" s="4"/>
    </row>
    <row r="592" ht="15.75" customHeight="1">
      <c r="U592" s="4"/>
      <c r="V592" s="4"/>
      <c r="W592" s="4"/>
      <c r="X592" s="4"/>
      <c r="Y592" s="4"/>
      <c r="Z592" s="4"/>
    </row>
    <row r="593" ht="15.75" customHeight="1">
      <c r="U593" s="4"/>
      <c r="V593" s="4"/>
      <c r="W593" s="4"/>
      <c r="X593" s="4"/>
      <c r="Y593" s="4"/>
      <c r="Z593" s="4"/>
    </row>
    <row r="594" ht="15.75" customHeight="1">
      <c r="U594" s="4"/>
      <c r="V594" s="4"/>
      <c r="W594" s="4"/>
      <c r="X594" s="4"/>
      <c r="Y594" s="4"/>
      <c r="Z594" s="4"/>
    </row>
    <row r="595" ht="15.75" customHeight="1">
      <c r="U595" s="4"/>
      <c r="V595" s="4"/>
      <c r="W595" s="4"/>
      <c r="X595" s="4"/>
      <c r="Y595" s="4"/>
      <c r="Z595" s="4"/>
    </row>
    <row r="596" ht="15.75" customHeight="1">
      <c r="U596" s="4"/>
      <c r="V596" s="4"/>
      <c r="W596" s="4"/>
      <c r="X596" s="4"/>
      <c r="Y596" s="4"/>
      <c r="Z596" s="4"/>
    </row>
    <row r="597" ht="15.75" customHeight="1">
      <c r="U597" s="4"/>
      <c r="V597" s="4"/>
      <c r="W597" s="4"/>
      <c r="X597" s="4"/>
      <c r="Y597" s="4"/>
      <c r="Z597" s="4"/>
    </row>
    <row r="598" ht="15.75" customHeight="1">
      <c r="U598" s="4"/>
      <c r="V598" s="4"/>
      <c r="W598" s="4"/>
      <c r="X598" s="4"/>
      <c r="Y598" s="4"/>
      <c r="Z598" s="4"/>
    </row>
    <row r="599" ht="15.75" customHeight="1">
      <c r="U599" s="4"/>
      <c r="V599" s="4"/>
      <c r="W599" s="4"/>
      <c r="X599" s="4"/>
      <c r="Y599" s="4"/>
      <c r="Z599" s="4"/>
    </row>
    <row r="600" ht="15.75" customHeight="1">
      <c r="U600" s="4"/>
      <c r="V600" s="4"/>
      <c r="W600" s="4"/>
      <c r="X600" s="4"/>
      <c r="Y600" s="4"/>
      <c r="Z600" s="4"/>
    </row>
    <row r="601" ht="15.75" customHeight="1">
      <c r="U601" s="4"/>
      <c r="V601" s="4"/>
      <c r="W601" s="4"/>
      <c r="X601" s="4"/>
      <c r="Y601" s="4"/>
      <c r="Z601" s="4"/>
    </row>
    <row r="602" ht="15.75" customHeight="1">
      <c r="U602" s="4"/>
      <c r="V602" s="4"/>
      <c r="W602" s="4"/>
      <c r="X602" s="4"/>
      <c r="Y602" s="4"/>
      <c r="Z602" s="4"/>
    </row>
    <row r="603" ht="15.75" customHeight="1">
      <c r="U603" s="4"/>
      <c r="V603" s="4"/>
      <c r="W603" s="4"/>
      <c r="X603" s="4"/>
      <c r="Y603" s="4"/>
      <c r="Z603" s="4"/>
    </row>
    <row r="604" ht="15.75" customHeight="1">
      <c r="U604" s="4"/>
      <c r="V604" s="4"/>
      <c r="W604" s="4"/>
      <c r="X604" s="4"/>
      <c r="Y604" s="4"/>
      <c r="Z604" s="4"/>
    </row>
    <row r="605" ht="15.75" customHeight="1">
      <c r="U605" s="4"/>
      <c r="V605" s="4"/>
      <c r="W605" s="4"/>
      <c r="X605" s="4"/>
      <c r="Y605" s="4"/>
      <c r="Z605" s="4"/>
    </row>
    <row r="606" ht="15.75" customHeight="1">
      <c r="U606" s="4"/>
      <c r="V606" s="4"/>
      <c r="W606" s="4"/>
      <c r="X606" s="4"/>
      <c r="Y606" s="4"/>
      <c r="Z606" s="4"/>
    </row>
    <row r="607" ht="15.75" customHeight="1">
      <c r="U607" s="4"/>
      <c r="V607" s="4"/>
      <c r="W607" s="4"/>
      <c r="X607" s="4"/>
      <c r="Y607" s="4"/>
      <c r="Z607" s="4"/>
    </row>
    <row r="608" ht="15.75" customHeight="1">
      <c r="U608" s="4"/>
      <c r="V608" s="4"/>
      <c r="W608" s="4"/>
      <c r="X608" s="4"/>
      <c r="Y608" s="4"/>
      <c r="Z608" s="4"/>
    </row>
    <row r="609" ht="15.75" customHeight="1">
      <c r="U609" s="4"/>
      <c r="V609" s="4"/>
      <c r="W609" s="4"/>
      <c r="X609" s="4"/>
      <c r="Y609" s="4"/>
      <c r="Z609" s="4"/>
    </row>
    <row r="610" ht="15.75" customHeight="1">
      <c r="U610" s="4"/>
      <c r="V610" s="4"/>
      <c r="W610" s="4"/>
      <c r="X610" s="4"/>
      <c r="Y610" s="4"/>
      <c r="Z610" s="4"/>
    </row>
    <row r="611" ht="15.75" customHeight="1">
      <c r="U611" s="4"/>
      <c r="V611" s="4"/>
      <c r="W611" s="4"/>
      <c r="X611" s="4"/>
      <c r="Y611" s="4"/>
      <c r="Z611" s="4"/>
    </row>
    <row r="612" ht="15.75" customHeight="1">
      <c r="U612" s="4"/>
      <c r="V612" s="4"/>
      <c r="W612" s="4"/>
      <c r="X612" s="4"/>
      <c r="Y612" s="4"/>
      <c r="Z612" s="4"/>
    </row>
    <row r="613" ht="15.75" customHeight="1">
      <c r="U613" s="4"/>
      <c r="V613" s="4"/>
      <c r="W613" s="4"/>
      <c r="X613" s="4"/>
      <c r="Y613" s="4"/>
      <c r="Z613" s="4"/>
    </row>
    <row r="614" ht="15.75" customHeight="1">
      <c r="U614" s="4"/>
      <c r="V614" s="4"/>
      <c r="W614" s="4"/>
      <c r="X614" s="4"/>
      <c r="Y614" s="4"/>
      <c r="Z614" s="4"/>
    </row>
    <row r="615" ht="15.75" customHeight="1">
      <c r="U615" s="4"/>
      <c r="V615" s="4"/>
      <c r="W615" s="4"/>
      <c r="X615" s="4"/>
      <c r="Y615" s="4"/>
      <c r="Z615" s="4"/>
    </row>
    <row r="616" ht="15.75" customHeight="1">
      <c r="U616" s="4"/>
      <c r="V616" s="4"/>
      <c r="W616" s="4"/>
      <c r="X616" s="4"/>
      <c r="Y616" s="4"/>
      <c r="Z616" s="4"/>
    </row>
    <row r="617" ht="15.75" customHeight="1">
      <c r="U617" s="4"/>
      <c r="V617" s="4"/>
      <c r="W617" s="4"/>
      <c r="X617" s="4"/>
      <c r="Y617" s="4"/>
      <c r="Z617" s="4"/>
    </row>
    <row r="618" ht="15.75" customHeight="1">
      <c r="U618" s="4"/>
      <c r="V618" s="4"/>
      <c r="W618" s="4"/>
      <c r="X618" s="4"/>
      <c r="Y618" s="4"/>
      <c r="Z618" s="4"/>
    </row>
    <row r="619" ht="15.75" customHeight="1">
      <c r="U619" s="4"/>
      <c r="V619" s="4"/>
      <c r="W619" s="4"/>
      <c r="X619" s="4"/>
      <c r="Y619" s="4"/>
      <c r="Z619" s="4"/>
    </row>
    <row r="620" ht="15.75" customHeight="1">
      <c r="U620" s="4"/>
      <c r="V620" s="4"/>
      <c r="W620" s="4"/>
      <c r="X620" s="4"/>
      <c r="Y620" s="4"/>
      <c r="Z620" s="4"/>
    </row>
    <row r="621" ht="15.75" customHeight="1">
      <c r="U621" s="4"/>
      <c r="V621" s="4"/>
      <c r="W621" s="4"/>
      <c r="X621" s="4"/>
      <c r="Y621" s="4"/>
      <c r="Z621" s="4"/>
    </row>
    <row r="622" ht="15.75" customHeight="1">
      <c r="U622" s="4"/>
      <c r="V622" s="4"/>
      <c r="W622" s="4"/>
      <c r="X622" s="4"/>
      <c r="Y622" s="4"/>
      <c r="Z622" s="4"/>
    </row>
    <row r="623" ht="15.75" customHeight="1">
      <c r="U623" s="4"/>
      <c r="V623" s="4"/>
      <c r="W623" s="4"/>
      <c r="X623" s="4"/>
      <c r="Y623" s="4"/>
      <c r="Z623" s="4"/>
    </row>
    <row r="624" ht="15.75" customHeight="1">
      <c r="U624" s="4"/>
      <c r="V624" s="4"/>
      <c r="W624" s="4"/>
      <c r="X624" s="4"/>
      <c r="Y624" s="4"/>
      <c r="Z624" s="4"/>
    </row>
    <row r="625" ht="15.75" customHeight="1">
      <c r="U625" s="4"/>
      <c r="V625" s="4"/>
      <c r="W625" s="4"/>
      <c r="X625" s="4"/>
      <c r="Y625" s="4"/>
      <c r="Z625" s="4"/>
    </row>
    <row r="626" ht="15.75" customHeight="1">
      <c r="U626" s="4"/>
      <c r="V626" s="4"/>
      <c r="W626" s="4"/>
      <c r="X626" s="4"/>
      <c r="Y626" s="4"/>
      <c r="Z626" s="4"/>
    </row>
    <row r="627" ht="15.75" customHeight="1">
      <c r="U627" s="4"/>
      <c r="V627" s="4"/>
      <c r="W627" s="4"/>
      <c r="X627" s="4"/>
      <c r="Y627" s="4"/>
      <c r="Z627" s="4"/>
    </row>
    <row r="628" ht="15.75" customHeight="1">
      <c r="U628" s="4"/>
      <c r="V628" s="4"/>
      <c r="W628" s="4"/>
      <c r="X628" s="4"/>
      <c r="Y628" s="4"/>
      <c r="Z628" s="4"/>
    </row>
    <row r="629" ht="15.75" customHeight="1">
      <c r="U629" s="4"/>
      <c r="V629" s="4"/>
      <c r="W629" s="4"/>
      <c r="X629" s="4"/>
      <c r="Y629" s="4"/>
      <c r="Z629" s="4"/>
    </row>
    <row r="630" ht="15.75" customHeight="1">
      <c r="U630" s="4"/>
      <c r="V630" s="4"/>
      <c r="W630" s="4"/>
      <c r="X630" s="4"/>
      <c r="Y630" s="4"/>
      <c r="Z630" s="4"/>
    </row>
    <row r="631" ht="15.75" customHeight="1">
      <c r="U631" s="4"/>
      <c r="V631" s="4"/>
      <c r="W631" s="4"/>
      <c r="X631" s="4"/>
      <c r="Y631" s="4"/>
      <c r="Z631" s="4"/>
    </row>
    <row r="632" ht="15.75" customHeight="1">
      <c r="U632" s="4"/>
      <c r="V632" s="4"/>
      <c r="W632" s="4"/>
      <c r="X632" s="4"/>
      <c r="Y632" s="4"/>
      <c r="Z632" s="4"/>
    </row>
    <row r="633" ht="15.75" customHeight="1">
      <c r="U633" s="4"/>
      <c r="V633" s="4"/>
      <c r="W633" s="4"/>
      <c r="X633" s="4"/>
      <c r="Y633" s="4"/>
      <c r="Z633" s="4"/>
    </row>
    <row r="634" ht="15.75" customHeight="1">
      <c r="U634" s="4"/>
      <c r="V634" s="4"/>
      <c r="W634" s="4"/>
      <c r="X634" s="4"/>
      <c r="Y634" s="4"/>
      <c r="Z634" s="4"/>
    </row>
    <row r="635" ht="15.75" customHeight="1">
      <c r="U635" s="4"/>
      <c r="V635" s="4"/>
      <c r="W635" s="4"/>
      <c r="X635" s="4"/>
      <c r="Y635" s="4"/>
      <c r="Z635" s="4"/>
    </row>
    <row r="636" ht="15.75" customHeight="1">
      <c r="U636" s="4"/>
      <c r="V636" s="4"/>
      <c r="W636" s="4"/>
      <c r="X636" s="4"/>
      <c r="Y636" s="4"/>
      <c r="Z636" s="4"/>
    </row>
    <row r="637" ht="15.75" customHeight="1">
      <c r="U637" s="4"/>
      <c r="V637" s="4"/>
      <c r="W637" s="4"/>
      <c r="X637" s="4"/>
      <c r="Y637" s="4"/>
      <c r="Z637" s="4"/>
    </row>
    <row r="638" ht="15.75" customHeight="1">
      <c r="U638" s="4"/>
      <c r="V638" s="4"/>
      <c r="W638" s="4"/>
      <c r="X638" s="4"/>
      <c r="Y638" s="4"/>
      <c r="Z638" s="4"/>
    </row>
    <row r="639" ht="15.75" customHeight="1">
      <c r="U639" s="4"/>
      <c r="V639" s="4"/>
      <c r="W639" s="4"/>
      <c r="X639" s="4"/>
      <c r="Y639" s="4"/>
      <c r="Z639" s="4"/>
    </row>
    <row r="640" ht="15.75" customHeight="1">
      <c r="U640" s="4"/>
      <c r="V640" s="4"/>
      <c r="W640" s="4"/>
      <c r="X640" s="4"/>
      <c r="Y640" s="4"/>
      <c r="Z640" s="4"/>
    </row>
    <row r="641" ht="15.75" customHeight="1">
      <c r="U641" s="4"/>
      <c r="V641" s="4"/>
      <c r="W641" s="4"/>
      <c r="X641" s="4"/>
      <c r="Y641" s="4"/>
      <c r="Z641" s="4"/>
    </row>
    <row r="642" ht="15.75" customHeight="1">
      <c r="U642" s="4"/>
      <c r="V642" s="4"/>
      <c r="W642" s="4"/>
      <c r="X642" s="4"/>
      <c r="Y642" s="4"/>
      <c r="Z642" s="4"/>
    </row>
    <row r="643" ht="15.75" customHeight="1">
      <c r="U643" s="4"/>
      <c r="V643" s="4"/>
      <c r="W643" s="4"/>
      <c r="X643" s="4"/>
      <c r="Y643" s="4"/>
      <c r="Z643" s="4"/>
    </row>
    <row r="644" ht="15.75" customHeight="1">
      <c r="U644" s="4"/>
      <c r="V644" s="4"/>
      <c r="W644" s="4"/>
      <c r="X644" s="4"/>
      <c r="Y644" s="4"/>
      <c r="Z644" s="4"/>
    </row>
    <row r="645" ht="15.75" customHeight="1">
      <c r="U645" s="4"/>
      <c r="V645" s="4"/>
      <c r="W645" s="4"/>
      <c r="X645" s="4"/>
      <c r="Y645" s="4"/>
      <c r="Z645" s="4"/>
    </row>
    <row r="646" ht="15.75" customHeight="1">
      <c r="U646" s="4"/>
      <c r="V646" s="4"/>
      <c r="W646" s="4"/>
      <c r="X646" s="4"/>
      <c r="Y646" s="4"/>
      <c r="Z646" s="4"/>
    </row>
    <row r="647" ht="15.75" customHeight="1">
      <c r="U647" s="4"/>
      <c r="V647" s="4"/>
      <c r="W647" s="4"/>
      <c r="X647" s="4"/>
      <c r="Y647" s="4"/>
      <c r="Z647" s="4"/>
    </row>
    <row r="648" ht="15.75" customHeight="1">
      <c r="U648" s="4"/>
      <c r="V648" s="4"/>
      <c r="W648" s="4"/>
      <c r="X648" s="4"/>
      <c r="Y648" s="4"/>
      <c r="Z648" s="4"/>
    </row>
    <row r="649" ht="15.75" customHeight="1">
      <c r="U649" s="4"/>
      <c r="V649" s="4"/>
      <c r="W649" s="4"/>
      <c r="X649" s="4"/>
      <c r="Y649" s="4"/>
      <c r="Z649" s="4"/>
    </row>
    <row r="650" ht="15.75" customHeight="1">
      <c r="U650" s="4"/>
      <c r="V650" s="4"/>
      <c r="W650" s="4"/>
      <c r="X650" s="4"/>
      <c r="Y650" s="4"/>
      <c r="Z650" s="4"/>
    </row>
    <row r="651" ht="15.75" customHeight="1">
      <c r="U651" s="4"/>
      <c r="V651" s="4"/>
      <c r="W651" s="4"/>
      <c r="X651" s="4"/>
      <c r="Y651" s="4"/>
      <c r="Z651" s="4"/>
    </row>
    <row r="652" ht="15.75" customHeight="1">
      <c r="U652" s="4"/>
      <c r="V652" s="4"/>
      <c r="W652" s="4"/>
      <c r="X652" s="4"/>
      <c r="Y652" s="4"/>
      <c r="Z652" s="4"/>
    </row>
    <row r="653" ht="15.75" customHeight="1">
      <c r="U653" s="4"/>
      <c r="V653" s="4"/>
      <c r="W653" s="4"/>
      <c r="X653" s="4"/>
      <c r="Y653" s="4"/>
      <c r="Z653" s="4"/>
    </row>
    <row r="654" ht="15.75" customHeight="1">
      <c r="U654" s="4"/>
      <c r="V654" s="4"/>
      <c r="W654" s="4"/>
      <c r="X654" s="4"/>
      <c r="Y654" s="4"/>
      <c r="Z654" s="4"/>
    </row>
    <row r="655" ht="15.75" customHeight="1">
      <c r="U655" s="4"/>
      <c r="V655" s="4"/>
      <c r="W655" s="4"/>
      <c r="X655" s="4"/>
      <c r="Y655" s="4"/>
      <c r="Z655" s="4"/>
    </row>
    <row r="656" ht="15.75" customHeight="1">
      <c r="U656" s="4"/>
      <c r="V656" s="4"/>
      <c r="W656" s="4"/>
      <c r="X656" s="4"/>
      <c r="Y656" s="4"/>
      <c r="Z656" s="4"/>
    </row>
    <row r="657" ht="15.75" customHeight="1">
      <c r="U657" s="4"/>
      <c r="V657" s="4"/>
      <c r="W657" s="4"/>
      <c r="X657" s="4"/>
      <c r="Y657" s="4"/>
      <c r="Z657" s="4"/>
    </row>
    <row r="658" ht="15.75" customHeight="1">
      <c r="U658" s="4"/>
      <c r="V658" s="4"/>
      <c r="W658" s="4"/>
      <c r="X658" s="4"/>
      <c r="Y658" s="4"/>
      <c r="Z658" s="4"/>
    </row>
    <row r="659" ht="15.75" customHeight="1">
      <c r="U659" s="4"/>
      <c r="V659" s="4"/>
      <c r="W659" s="4"/>
      <c r="X659" s="4"/>
      <c r="Y659" s="4"/>
      <c r="Z659" s="4"/>
    </row>
    <row r="660" ht="15.75" customHeight="1">
      <c r="U660" s="4"/>
      <c r="V660" s="4"/>
      <c r="W660" s="4"/>
      <c r="X660" s="4"/>
      <c r="Y660" s="4"/>
      <c r="Z660" s="4"/>
    </row>
    <row r="661" ht="15.75" customHeight="1">
      <c r="U661" s="4"/>
      <c r="V661" s="4"/>
      <c r="W661" s="4"/>
      <c r="X661" s="4"/>
      <c r="Y661" s="4"/>
      <c r="Z661" s="4"/>
    </row>
    <row r="662" ht="15.75" customHeight="1">
      <c r="U662" s="4"/>
      <c r="V662" s="4"/>
      <c r="W662" s="4"/>
      <c r="X662" s="4"/>
      <c r="Y662" s="4"/>
      <c r="Z662" s="4"/>
    </row>
    <row r="663" ht="15.75" customHeight="1">
      <c r="U663" s="4"/>
      <c r="V663" s="4"/>
      <c r="W663" s="4"/>
      <c r="X663" s="4"/>
      <c r="Y663" s="4"/>
      <c r="Z663" s="4"/>
    </row>
    <row r="664" ht="15.75" customHeight="1">
      <c r="U664" s="4"/>
      <c r="V664" s="4"/>
      <c r="W664" s="4"/>
      <c r="X664" s="4"/>
      <c r="Y664" s="4"/>
      <c r="Z664" s="4"/>
    </row>
    <row r="665" ht="15.75" customHeight="1">
      <c r="U665" s="4"/>
      <c r="V665" s="4"/>
      <c r="W665" s="4"/>
      <c r="X665" s="4"/>
      <c r="Y665" s="4"/>
      <c r="Z665" s="4"/>
    </row>
    <row r="666" ht="15.75" customHeight="1">
      <c r="U666" s="4"/>
      <c r="V666" s="4"/>
      <c r="W666" s="4"/>
      <c r="X666" s="4"/>
      <c r="Y666" s="4"/>
      <c r="Z666" s="4"/>
    </row>
    <row r="667" ht="15.75" customHeight="1">
      <c r="U667" s="4"/>
      <c r="V667" s="4"/>
      <c r="W667" s="4"/>
      <c r="X667" s="4"/>
      <c r="Y667" s="4"/>
      <c r="Z667" s="4"/>
    </row>
    <row r="668" ht="15.75" customHeight="1">
      <c r="U668" s="4"/>
      <c r="V668" s="4"/>
      <c r="W668" s="4"/>
      <c r="X668" s="4"/>
      <c r="Y668" s="4"/>
      <c r="Z668" s="4"/>
    </row>
    <row r="669" ht="15.75" customHeight="1">
      <c r="U669" s="4"/>
      <c r="V669" s="4"/>
      <c r="W669" s="4"/>
      <c r="X669" s="4"/>
      <c r="Y669" s="4"/>
      <c r="Z669" s="4"/>
    </row>
    <row r="670" ht="15.75" customHeight="1">
      <c r="U670" s="4"/>
      <c r="V670" s="4"/>
      <c r="W670" s="4"/>
      <c r="X670" s="4"/>
      <c r="Y670" s="4"/>
      <c r="Z670" s="4"/>
    </row>
    <row r="671" ht="15.75" customHeight="1">
      <c r="U671" s="4"/>
      <c r="V671" s="4"/>
      <c r="W671" s="4"/>
      <c r="X671" s="4"/>
      <c r="Y671" s="4"/>
      <c r="Z671" s="4"/>
    </row>
    <row r="672" ht="15.75" customHeight="1">
      <c r="U672" s="4"/>
      <c r="V672" s="4"/>
      <c r="W672" s="4"/>
      <c r="X672" s="4"/>
      <c r="Y672" s="4"/>
      <c r="Z672" s="4"/>
    </row>
    <row r="673" ht="15.75" customHeight="1">
      <c r="U673" s="4"/>
      <c r="V673" s="4"/>
      <c r="W673" s="4"/>
      <c r="X673" s="4"/>
      <c r="Y673" s="4"/>
      <c r="Z673" s="4"/>
    </row>
    <row r="674" ht="15.75" customHeight="1">
      <c r="U674" s="4"/>
      <c r="V674" s="4"/>
      <c r="W674" s="4"/>
      <c r="X674" s="4"/>
      <c r="Y674" s="4"/>
      <c r="Z674" s="4"/>
    </row>
    <row r="675" ht="15.75" customHeight="1">
      <c r="U675" s="4"/>
      <c r="V675" s="4"/>
      <c r="W675" s="4"/>
      <c r="X675" s="4"/>
      <c r="Y675" s="4"/>
      <c r="Z675" s="4"/>
    </row>
    <row r="676" ht="15.75" customHeight="1">
      <c r="U676" s="4"/>
      <c r="V676" s="4"/>
      <c r="W676" s="4"/>
      <c r="X676" s="4"/>
      <c r="Y676" s="4"/>
      <c r="Z676" s="4"/>
    </row>
    <row r="677" ht="15.75" customHeight="1">
      <c r="U677" s="4"/>
      <c r="V677" s="4"/>
      <c r="W677" s="4"/>
      <c r="X677" s="4"/>
      <c r="Y677" s="4"/>
      <c r="Z677" s="4"/>
    </row>
    <row r="678" ht="15.75" customHeight="1">
      <c r="U678" s="4"/>
      <c r="V678" s="4"/>
      <c r="W678" s="4"/>
      <c r="X678" s="4"/>
      <c r="Y678" s="4"/>
      <c r="Z678" s="4"/>
    </row>
    <row r="679" ht="15.75" customHeight="1">
      <c r="U679" s="4"/>
      <c r="V679" s="4"/>
      <c r="W679" s="4"/>
      <c r="X679" s="4"/>
      <c r="Y679" s="4"/>
      <c r="Z679" s="4"/>
    </row>
    <row r="680" ht="15.75" customHeight="1">
      <c r="U680" s="4"/>
      <c r="V680" s="4"/>
      <c r="W680" s="4"/>
      <c r="X680" s="4"/>
      <c r="Y680" s="4"/>
      <c r="Z680" s="4"/>
    </row>
    <row r="681" ht="15.75" customHeight="1">
      <c r="U681" s="4"/>
      <c r="V681" s="4"/>
      <c r="W681" s="4"/>
      <c r="X681" s="4"/>
      <c r="Y681" s="4"/>
      <c r="Z681" s="4"/>
    </row>
    <row r="682" ht="15.75" customHeight="1">
      <c r="U682" s="4"/>
      <c r="V682" s="4"/>
      <c r="W682" s="4"/>
      <c r="X682" s="4"/>
      <c r="Y682" s="4"/>
      <c r="Z682" s="4"/>
    </row>
    <row r="683" ht="15.75" customHeight="1">
      <c r="U683" s="4"/>
      <c r="V683" s="4"/>
      <c r="W683" s="4"/>
      <c r="X683" s="4"/>
      <c r="Y683" s="4"/>
      <c r="Z683" s="4"/>
    </row>
    <row r="684" ht="15.75" customHeight="1">
      <c r="U684" s="4"/>
      <c r="V684" s="4"/>
      <c r="W684" s="4"/>
      <c r="X684" s="4"/>
      <c r="Y684" s="4"/>
      <c r="Z684" s="4"/>
    </row>
    <row r="685" ht="15.75" customHeight="1">
      <c r="U685" s="4"/>
      <c r="V685" s="4"/>
      <c r="W685" s="4"/>
      <c r="X685" s="4"/>
      <c r="Y685" s="4"/>
      <c r="Z685" s="4"/>
    </row>
    <row r="686" ht="15.75" customHeight="1">
      <c r="U686" s="4"/>
      <c r="V686" s="4"/>
      <c r="W686" s="4"/>
      <c r="X686" s="4"/>
      <c r="Y686" s="4"/>
      <c r="Z686" s="4"/>
    </row>
    <row r="687" ht="15.75" customHeight="1">
      <c r="U687" s="4"/>
      <c r="V687" s="4"/>
      <c r="W687" s="4"/>
      <c r="X687" s="4"/>
      <c r="Y687" s="4"/>
      <c r="Z687" s="4"/>
    </row>
    <row r="688" ht="15.75" customHeight="1">
      <c r="U688" s="4"/>
      <c r="V688" s="4"/>
      <c r="W688" s="4"/>
      <c r="X688" s="4"/>
      <c r="Y688" s="4"/>
      <c r="Z688" s="4"/>
    </row>
    <row r="689" ht="15.75" customHeight="1">
      <c r="U689" s="4"/>
      <c r="V689" s="4"/>
      <c r="W689" s="4"/>
      <c r="X689" s="4"/>
      <c r="Y689" s="4"/>
      <c r="Z689" s="4"/>
    </row>
    <row r="690" ht="15.75" customHeight="1">
      <c r="U690" s="4"/>
      <c r="V690" s="4"/>
      <c r="W690" s="4"/>
      <c r="X690" s="4"/>
      <c r="Y690" s="4"/>
      <c r="Z690" s="4"/>
    </row>
    <row r="691" ht="15.75" customHeight="1">
      <c r="U691" s="4"/>
      <c r="V691" s="4"/>
      <c r="W691" s="4"/>
      <c r="X691" s="4"/>
      <c r="Y691" s="4"/>
      <c r="Z691" s="4"/>
    </row>
    <row r="692" ht="15.75" customHeight="1">
      <c r="U692" s="4"/>
      <c r="V692" s="4"/>
      <c r="W692" s="4"/>
      <c r="X692" s="4"/>
      <c r="Y692" s="4"/>
      <c r="Z692" s="4"/>
    </row>
    <row r="693" ht="15.75" customHeight="1">
      <c r="U693" s="4"/>
      <c r="V693" s="4"/>
      <c r="W693" s="4"/>
      <c r="X693" s="4"/>
      <c r="Y693" s="4"/>
      <c r="Z693" s="4"/>
    </row>
    <row r="694" ht="15.75" customHeight="1">
      <c r="U694" s="4"/>
      <c r="V694" s="4"/>
      <c r="W694" s="4"/>
      <c r="X694" s="4"/>
      <c r="Y694" s="4"/>
      <c r="Z694" s="4"/>
    </row>
    <row r="695" ht="15.75" customHeight="1">
      <c r="U695" s="4"/>
      <c r="V695" s="4"/>
      <c r="W695" s="4"/>
      <c r="X695" s="4"/>
      <c r="Y695" s="4"/>
      <c r="Z695" s="4"/>
    </row>
    <row r="696" ht="15.75" customHeight="1">
      <c r="U696" s="4"/>
      <c r="V696" s="4"/>
      <c r="W696" s="4"/>
      <c r="X696" s="4"/>
      <c r="Y696" s="4"/>
      <c r="Z696" s="4"/>
    </row>
    <row r="697" ht="15.75" customHeight="1">
      <c r="U697" s="4"/>
      <c r="V697" s="4"/>
      <c r="W697" s="4"/>
      <c r="X697" s="4"/>
      <c r="Y697" s="4"/>
      <c r="Z697" s="4"/>
    </row>
    <row r="698" ht="15.75" customHeight="1">
      <c r="U698" s="4"/>
      <c r="V698" s="4"/>
      <c r="W698" s="4"/>
      <c r="X698" s="4"/>
      <c r="Y698" s="4"/>
      <c r="Z698" s="4"/>
    </row>
    <row r="699" ht="15.75" customHeight="1">
      <c r="U699" s="4"/>
      <c r="V699" s="4"/>
      <c r="W699" s="4"/>
      <c r="X699" s="4"/>
      <c r="Y699" s="4"/>
      <c r="Z699" s="4"/>
    </row>
    <row r="700" ht="15.75" customHeight="1">
      <c r="U700" s="4"/>
      <c r="V700" s="4"/>
      <c r="W700" s="4"/>
      <c r="X700" s="4"/>
      <c r="Y700" s="4"/>
      <c r="Z700" s="4"/>
    </row>
    <row r="701" ht="15.75" customHeight="1">
      <c r="U701" s="4"/>
      <c r="V701" s="4"/>
      <c r="W701" s="4"/>
      <c r="X701" s="4"/>
      <c r="Y701" s="4"/>
      <c r="Z701" s="4"/>
    </row>
    <row r="702" ht="15.75" customHeight="1">
      <c r="U702" s="4"/>
      <c r="V702" s="4"/>
      <c r="W702" s="4"/>
      <c r="X702" s="4"/>
      <c r="Y702" s="4"/>
      <c r="Z702" s="4"/>
    </row>
    <row r="703" ht="15.75" customHeight="1">
      <c r="U703" s="4"/>
      <c r="V703" s="4"/>
      <c r="W703" s="4"/>
      <c r="X703" s="4"/>
      <c r="Y703" s="4"/>
      <c r="Z703" s="4"/>
    </row>
    <row r="704" ht="15.75" customHeight="1">
      <c r="U704" s="4"/>
      <c r="V704" s="4"/>
      <c r="W704" s="4"/>
      <c r="X704" s="4"/>
      <c r="Y704" s="4"/>
      <c r="Z704" s="4"/>
    </row>
    <row r="705" ht="15.75" customHeight="1">
      <c r="U705" s="4"/>
      <c r="V705" s="4"/>
      <c r="W705" s="4"/>
      <c r="X705" s="4"/>
      <c r="Y705" s="4"/>
      <c r="Z705" s="4"/>
    </row>
    <row r="706" ht="15.75" customHeight="1">
      <c r="U706" s="4"/>
      <c r="V706" s="4"/>
      <c r="W706" s="4"/>
      <c r="X706" s="4"/>
      <c r="Y706" s="4"/>
      <c r="Z706" s="4"/>
    </row>
    <row r="707" ht="15.75" customHeight="1">
      <c r="U707" s="4"/>
      <c r="V707" s="4"/>
      <c r="W707" s="4"/>
      <c r="X707" s="4"/>
      <c r="Y707" s="4"/>
      <c r="Z707" s="4"/>
    </row>
    <row r="708" ht="15.75" customHeight="1">
      <c r="U708" s="4"/>
      <c r="V708" s="4"/>
      <c r="W708" s="4"/>
      <c r="X708" s="4"/>
      <c r="Y708" s="4"/>
      <c r="Z708" s="4"/>
    </row>
    <row r="709" ht="15.75" customHeight="1">
      <c r="U709" s="4"/>
      <c r="V709" s="4"/>
      <c r="W709" s="4"/>
      <c r="X709" s="4"/>
      <c r="Y709" s="4"/>
      <c r="Z709" s="4"/>
    </row>
    <row r="710" ht="15.75" customHeight="1">
      <c r="U710" s="4"/>
      <c r="V710" s="4"/>
      <c r="W710" s="4"/>
      <c r="X710" s="4"/>
      <c r="Y710" s="4"/>
      <c r="Z710" s="4"/>
    </row>
    <row r="711" ht="15.75" customHeight="1">
      <c r="U711" s="4"/>
      <c r="V711" s="4"/>
      <c r="W711" s="4"/>
      <c r="X711" s="4"/>
      <c r="Y711" s="4"/>
      <c r="Z711" s="4"/>
    </row>
    <row r="712" ht="15.75" customHeight="1">
      <c r="U712" s="4"/>
      <c r="V712" s="4"/>
      <c r="W712" s="4"/>
      <c r="X712" s="4"/>
      <c r="Y712" s="4"/>
      <c r="Z712" s="4"/>
    </row>
    <row r="713" ht="15.75" customHeight="1">
      <c r="U713" s="4"/>
      <c r="V713" s="4"/>
      <c r="W713" s="4"/>
      <c r="X713" s="4"/>
      <c r="Y713" s="4"/>
      <c r="Z713" s="4"/>
    </row>
    <row r="714" ht="15.75" customHeight="1">
      <c r="U714" s="4"/>
      <c r="V714" s="4"/>
      <c r="W714" s="4"/>
      <c r="X714" s="4"/>
      <c r="Y714" s="4"/>
      <c r="Z714" s="4"/>
    </row>
    <row r="715" ht="15.75" customHeight="1">
      <c r="U715" s="4"/>
      <c r="V715" s="4"/>
      <c r="W715" s="4"/>
      <c r="X715" s="4"/>
      <c r="Y715" s="4"/>
      <c r="Z715" s="4"/>
    </row>
    <row r="716" ht="15.75" customHeight="1">
      <c r="U716" s="4"/>
      <c r="V716" s="4"/>
      <c r="W716" s="4"/>
      <c r="X716" s="4"/>
      <c r="Y716" s="4"/>
      <c r="Z716" s="4"/>
    </row>
    <row r="717" ht="15.75" customHeight="1">
      <c r="U717" s="4"/>
      <c r="V717" s="4"/>
      <c r="W717" s="4"/>
      <c r="X717" s="4"/>
      <c r="Y717" s="4"/>
      <c r="Z717" s="4"/>
    </row>
    <row r="718" ht="15.75" customHeight="1">
      <c r="U718" s="4"/>
      <c r="V718" s="4"/>
      <c r="W718" s="4"/>
      <c r="X718" s="4"/>
      <c r="Y718" s="4"/>
      <c r="Z718" s="4"/>
    </row>
    <row r="719" ht="15.75" customHeight="1">
      <c r="U719" s="4"/>
      <c r="V719" s="4"/>
      <c r="W719" s="4"/>
      <c r="X719" s="4"/>
      <c r="Y719" s="4"/>
      <c r="Z719" s="4"/>
    </row>
    <row r="720" ht="15.75" customHeight="1">
      <c r="U720" s="4"/>
      <c r="V720" s="4"/>
      <c r="W720" s="4"/>
      <c r="X720" s="4"/>
      <c r="Y720" s="4"/>
      <c r="Z720" s="4"/>
    </row>
    <row r="721" ht="15.75" customHeight="1">
      <c r="U721" s="4"/>
      <c r="V721" s="4"/>
      <c r="W721" s="4"/>
      <c r="X721" s="4"/>
      <c r="Y721" s="4"/>
      <c r="Z721" s="4"/>
    </row>
    <row r="722" ht="15.75" customHeight="1">
      <c r="U722" s="4"/>
      <c r="V722" s="4"/>
      <c r="W722" s="4"/>
      <c r="X722" s="4"/>
      <c r="Y722" s="4"/>
      <c r="Z722" s="4"/>
    </row>
    <row r="723" ht="15.75" customHeight="1">
      <c r="U723" s="4"/>
      <c r="V723" s="4"/>
      <c r="W723" s="4"/>
      <c r="X723" s="4"/>
      <c r="Y723" s="4"/>
      <c r="Z723" s="4"/>
    </row>
    <row r="724" ht="15.75" customHeight="1">
      <c r="U724" s="4"/>
      <c r="V724" s="4"/>
      <c r="W724" s="4"/>
      <c r="X724" s="4"/>
      <c r="Y724" s="4"/>
      <c r="Z724" s="4"/>
    </row>
    <row r="725" ht="15.75" customHeight="1">
      <c r="U725" s="4"/>
      <c r="V725" s="4"/>
      <c r="W725" s="4"/>
      <c r="X725" s="4"/>
      <c r="Y725" s="4"/>
      <c r="Z725" s="4"/>
    </row>
    <row r="726" ht="15.75" customHeight="1">
      <c r="U726" s="4"/>
      <c r="V726" s="4"/>
      <c r="W726" s="4"/>
      <c r="X726" s="4"/>
      <c r="Y726" s="4"/>
      <c r="Z726" s="4"/>
    </row>
    <row r="727" ht="15.75" customHeight="1">
      <c r="U727" s="4"/>
      <c r="V727" s="4"/>
      <c r="W727" s="4"/>
      <c r="X727" s="4"/>
      <c r="Y727" s="4"/>
      <c r="Z727" s="4"/>
    </row>
    <row r="728" ht="15.75" customHeight="1">
      <c r="U728" s="4"/>
      <c r="V728" s="4"/>
      <c r="W728" s="4"/>
      <c r="X728" s="4"/>
      <c r="Y728" s="4"/>
      <c r="Z728" s="4"/>
    </row>
    <row r="729" ht="15.75" customHeight="1">
      <c r="U729" s="4"/>
      <c r="V729" s="4"/>
      <c r="W729" s="4"/>
      <c r="X729" s="4"/>
      <c r="Y729" s="4"/>
      <c r="Z729" s="4"/>
    </row>
    <row r="730" ht="15.75" customHeight="1">
      <c r="U730" s="4"/>
      <c r="V730" s="4"/>
      <c r="W730" s="4"/>
      <c r="X730" s="4"/>
      <c r="Y730" s="4"/>
      <c r="Z730" s="4"/>
    </row>
    <row r="731" ht="15.75" customHeight="1">
      <c r="U731" s="4"/>
      <c r="V731" s="4"/>
      <c r="W731" s="4"/>
      <c r="X731" s="4"/>
      <c r="Y731" s="4"/>
      <c r="Z731" s="4"/>
    </row>
    <row r="732" ht="15.75" customHeight="1">
      <c r="U732" s="4"/>
      <c r="V732" s="4"/>
      <c r="W732" s="4"/>
      <c r="X732" s="4"/>
      <c r="Y732" s="4"/>
      <c r="Z732" s="4"/>
    </row>
    <row r="733" ht="15.75" customHeight="1">
      <c r="U733" s="4"/>
      <c r="V733" s="4"/>
      <c r="W733" s="4"/>
      <c r="X733" s="4"/>
      <c r="Y733" s="4"/>
      <c r="Z733" s="4"/>
    </row>
    <row r="734" ht="15.75" customHeight="1">
      <c r="U734" s="4"/>
      <c r="V734" s="4"/>
      <c r="W734" s="4"/>
      <c r="X734" s="4"/>
      <c r="Y734" s="4"/>
      <c r="Z734" s="4"/>
    </row>
    <row r="735" ht="15.75" customHeight="1">
      <c r="U735" s="4"/>
      <c r="V735" s="4"/>
      <c r="W735" s="4"/>
      <c r="X735" s="4"/>
      <c r="Y735" s="4"/>
      <c r="Z735" s="4"/>
    </row>
    <row r="736" ht="15.75" customHeight="1">
      <c r="U736" s="4"/>
      <c r="V736" s="4"/>
      <c r="W736" s="4"/>
      <c r="X736" s="4"/>
      <c r="Y736" s="4"/>
      <c r="Z736" s="4"/>
    </row>
    <row r="737" ht="15.75" customHeight="1">
      <c r="U737" s="4"/>
      <c r="V737" s="4"/>
      <c r="W737" s="4"/>
      <c r="X737" s="4"/>
      <c r="Y737" s="4"/>
      <c r="Z737" s="4"/>
    </row>
    <row r="738" ht="15.75" customHeight="1">
      <c r="U738" s="4"/>
      <c r="V738" s="4"/>
      <c r="W738" s="4"/>
      <c r="X738" s="4"/>
      <c r="Y738" s="4"/>
      <c r="Z738" s="4"/>
    </row>
    <row r="739" ht="15.75" customHeight="1">
      <c r="U739" s="4"/>
      <c r="V739" s="4"/>
      <c r="W739" s="4"/>
      <c r="X739" s="4"/>
      <c r="Y739" s="4"/>
      <c r="Z739" s="4"/>
    </row>
    <row r="740" ht="15.75" customHeight="1">
      <c r="U740" s="4"/>
      <c r="V740" s="4"/>
      <c r="W740" s="4"/>
      <c r="X740" s="4"/>
      <c r="Y740" s="4"/>
      <c r="Z740" s="4"/>
    </row>
    <row r="741" ht="15.75" customHeight="1">
      <c r="U741" s="4"/>
      <c r="V741" s="4"/>
      <c r="W741" s="4"/>
      <c r="X741" s="4"/>
      <c r="Y741" s="4"/>
      <c r="Z741" s="4"/>
    </row>
    <row r="742" ht="15.75" customHeight="1">
      <c r="U742" s="4"/>
      <c r="V742" s="4"/>
      <c r="W742" s="4"/>
      <c r="X742" s="4"/>
      <c r="Y742" s="4"/>
      <c r="Z742" s="4"/>
    </row>
    <row r="743" ht="15.75" customHeight="1">
      <c r="U743" s="4"/>
      <c r="V743" s="4"/>
      <c r="W743" s="4"/>
      <c r="X743" s="4"/>
      <c r="Y743" s="4"/>
      <c r="Z743" s="4"/>
    </row>
    <row r="744" ht="15.75" customHeight="1">
      <c r="U744" s="4"/>
      <c r="V744" s="4"/>
      <c r="W744" s="4"/>
      <c r="X744" s="4"/>
      <c r="Y744" s="4"/>
      <c r="Z744" s="4"/>
    </row>
    <row r="745" ht="15.75" customHeight="1">
      <c r="U745" s="4"/>
      <c r="V745" s="4"/>
      <c r="W745" s="4"/>
      <c r="X745" s="4"/>
      <c r="Y745" s="4"/>
      <c r="Z745" s="4"/>
    </row>
    <row r="746" ht="15.75" customHeight="1">
      <c r="U746" s="4"/>
      <c r="V746" s="4"/>
      <c r="W746" s="4"/>
      <c r="X746" s="4"/>
      <c r="Y746" s="4"/>
      <c r="Z746" s="4"/>
    </row>
    <row r="747" ht="15.75" customHeight="1">
      <c r="U747" s="4"/>
      <c r="V747" s="4"/>
      <c r="W747" s="4"/>
      <c r="X747" s="4"/>
      <c r="Y747" s="4"/>
      <c r="Z747" s="4"/>
    </row>
    <row r="748" ht="15.75" customHeight="1">
      <c r="U748" s="4"/>
      <c r="V748" s="4"/>
      <c r="W748" s="4"/>
      <c r="X748" s="4"/>
      <c r="Y748" s="4"/>
      <c r="Z748" s="4"/>
    </row>
    <row r="749" ht="15.75" customHeight="1">
      <c r="U749" s="4"/>
      <c r="V749" s="4"/>
      <c r="W749" s="4"/>
      <c r="X749" s="4"/>
      <c r="Y749" s="4"/>
      <c r="Z749" s="4"/>
    </row>
    <row r="750" ht="15.75" customHeight="1">
      <c r="U750" s="4"/>
      <c r="V750" s="4"/>
      <c r="W750" s="4"/>
      <c r="X750" s="4"/>
      <c r="Y750" s="4"/>
      <c r="Z750" s="4"/>
    </row>
    <row r="751" ht="15.75" customHeight="1">
      <c r="U751" s="4"/>
      <c r="V751" s="4"/>
      <c r="W751" s="4"/>
      <c r="X751" s="4"/>
      <c r="Y751" s="4"/>
      <c r="Z751" s="4"/>
    </row>
    <row r="752" ht="15.75" customHeight="1">
      <c r="U752" s="4"/>
      <c r="V752" s="4"/>
      <c r="W752" s="4"/>
      <c r="X752" s="4"/>
      <c r="Y752" s="4"/>
      <c r="Z752" s="4"/>
    </row>
    <row r="753" ht="15.75" customHeight="1">
      <c r="U753" s="4"/>
      <c r="V753" s="4"/>
      <c r="W753" s="4"/>
      <c r="X753" s="4"/>
      <c r="Y753" s="4"/>
      <c r="Z753" s="4"/>
    </row>
    <row r="754" ht="15.75" customHeight="1">
      <c r="U754" s="4"/>
      <c r="V754" s="4"/>
      <c r="W754" s="4"/>
      <c r="X754" s="4"/>
      <c r="Y754" s="4"/>
      <c r="Z754" s="4"/>
    </row>
    <row r="755" ht="15.75" customHeight="1">
      <c r="U755" s="4"/>
      <c r="V755" s="4"/>
      <c r="W755" s="4"/>
      <c r="X755" s="4"/>
      <c r="Y755" s="4"/>
      <c r="Z755" s="4"/>
    </row>
    <row r="756" ht="15.75" customHeight="1">
      <c r="U756" s="4"/>
      <c r="V756" s="4"/>
      <c r="W756" s="4"/>
      <c r="X756" s="4"/>
      <c r="Y756" s="4"/>
      <c r="Z756" s="4"/>
    </row>
    <row r="757" ht="15.75" customHeight="1">
      <c r="U757" s="4"/>
      <c r="V757" s="4"/>
      <c r="W757" s="4"/>
      <c r="X757" s="4"/>
      <c r="Y757" s="4"/>
      <c r="Z757" s="4"/>
    </row>
    <row r="758" ht="15.75" customHeight="1">
      <c r="U758" s="4"/>
      <c r="V758" s="4"/>
      <c r="W758" s="4"/>
      <c r="X758" s="4"/>
      <c r="Y758" s="4"/>
      <c r="Z758" s="4"/>
    </row>
    <row r="759" ht="15.75" customHeight="1">
      <c r="U759" s="4"/>
      <c r="V759" s="4"/>
      <c r="W759" s="4"/>
      <c r="X759" s="4"/>
      <c r="Y759" s="4"/>
      <c r="Z759" s="4"/>
    </row>
    <row r="760" ht="15.75" customHeight="1">
      <c r="U760" s="4"/>
      <c r="V760" s="4"/>
      <c r="W760" s="4"/>
      <c r="X760" s="4"/>
      <c r="Y760" s="4"/>
      <c r="Z760" s="4"/>
    </row>
    <row r="761" ht="15.75" customHeight="1">
      <c r="U761" s="4"/>
      <c r="V761" s="4"/>
      <c r="W761" s="4"/>
      <c r="X761" s="4"/>
      <c r="Y761" s="4"/>
      <c r="Z761" s="4"/>
    </row>
    <row r="762" ht="15.75" customHeight="1">
      <c r="U762" s="4"/>
      <c r="V762" s="4"/>
      <c r="W762" s="4"/>
      <c r="X762" s="4"/>
      <c r="Y762" s="4"/>
      <c r="Z762" s="4"/>
    </row>
    <row r="763" ht="15.75" customHeight="1">
      <c r="U763" s="4"/>
      <c r="V763" s="4"/>
      <c r="W763" s="4"/>
      <c r="X763" s="4"/>
      <c r="Y763" s="4"/>
      <c r="Z763" s="4"/>
    </row>
    <row r="764" ht="15.75" customHeight="1">
      <c r="U764" s="4"/>
      <c r="V764" s="4"/>
      <c r="W764" s="4"/>
      <c r="X764" s="4"/>
      <c r="Y764" s="4"/>
      <c r="Z764" s="4"/>
    </row>
    <row r="765" ht="15.75" customHeight="1">
      <c r="U765" s="4"/>
      <c r="V765" s="4"/>
      <c r="W765" s="4"/>
      <c r="X765" s="4"/>
      <c r="Y765" s="4"/>
      <c r="Z765" s="4"/>
    </row>
    <row r="766" ht="15.75" customHeight="1">
      <c r="U766" s="4"/>
      <c r="V766" s="4"/>
      <c r="W766" s="4"/>
      <c r="X766" s="4"/>
      <c r="Y766" s="4"/>
      <c r="Z766" s="4"/>
    </row>
    <row r="767" ht="15.75" customHeight="1">
      <c r="U767" s="4"/>
      <c r="V767" s="4"/>
      <c r="W767" s="4"/>
      <c r="X767" s="4"/>
      <c r="Y767" s="4"/>
      <c r="Z767" s="4"/>
    </row>
    <row r="768" ht="15.75" customHeight="1">
      <c r="U768" s="4"/>
      <c r="V768" s="4"/>
      <c r="W768" s="4"/>
      <c r="X768" s="4"/>
      <c r="Y768" s="4"/>
      <c r="Z768" s="4"/>
    </row>
    <row r="769" ht="15.75" customHeight="1">
      <c r="U769" s="4"/>
      <c r="V769" s="4"/>
      <c r="W769" s="4"/>
      <c r="X769" s="4"/>
      <c r="Y769" s="4"/>
      <c r="Z769" s="4"/>
    </row>
    <row r="770" ht="15.75" customHeight="1">
      <c r="U770" s="4"/>
      <c r="V770" s="4"/>
      <c r="W770" s="4"/>
      <c r="X770" s="4"/>
      <c r="Y770" s="4"/>
      <c r="Z770" s="4"/>
    </row>
    <row r="771" ht="15.75" customHeight="1">
      <c r="U771" s="4"/>
      <c r="V771" s="4"/>
      <c r="W771" s="4"/>
      <c r="X771" s="4"/>
      <c r="Y771" s="4"/>
      <c r="Z771" s="4"/>
    </row>
    <row r="772" ht="15.75" customHeight="1">
      <c r="U772" s="4"/>
      <c r="V772" s="4"/>
      <c r="W772" s="4"/>
      <c r="X772" s="4"/>
      <c r="Y772" s="4"/>
      <c r="Z772" s="4"/>
    </row>
    <row r="773" ht="15.75" customHeight="1">
      <c r="U773" s="4"/>
      <c r="V773" s="4"/>
      <c r="W773" s="4"/>
      <c r="X773" s="4"/>
      <c r="Y773" s="4"/>
      <c r="Z773" s="4"/>
    </row>
    <row r="774" ht="15.75" customHeight="1">
      <c r="U774" s="4"/>
      <c r="V774" s="4"/>
      <c r="W774" s="4"/>
      <c r="X774" s="4"/>
      <c r="Y774" s="4"/>
      <c r="Z774" s="4"/>
    </row>
    <row r="775" ht="15.75" customHeight="1">
      <c r="U775" s="4"/>
      <c r="V775" s="4"/>
      <c r="W775" s="4"/>
      <c r="X775" s="4"/>
      <c r="Y775" s="4"/>
      <c r="Z775" s="4"/>
    </row>
    <row r="776" ht="15.75" customHeight="1">
      <c r="U776" s="4"/>
      <c r="V776" s="4"/>
      <c r="W776" s="4"/>
      <c r="X776" s="4"/>
      <c r="Y776" s="4"/>
      <c r="Z776" s="4"/>
    </row>
    <row r="777" ht="15.75" customHeight="1">
      <c r="U777" s="4"/>
      <c r="V777" s="4"/>
      <c r="W777" s="4"/>
      <c r="X777" s="4"/>
      <c r="Y777" s="4"/>
      <c r="Z777" s="4"/>
    </row>
    <row r="778" ht="15.75" customHeight="1">
      <c r="U778" s="4"/>
      <c r="V778" s="4"/>
      <c r="W778" s="4"/>
      <c r="X778" s="4"/>
      <c r="Y778" s="4"/>
      <c r="Z778" s="4"/>
    </row>
    <row r="779" ht="15.75" customHeight="1">
      <c r="U779" s="4"/>
      <c r="V779" s="4"/>
      <c r="W779" s="4"/>
      <c r="X779" s="4"/>
      <c r="Y779" s="4"/>
      <c r="Z779" s="4"/>
    </row>
    <row r="780" ht="15.75" customHeight="1">
      <c r="U780" s="4"/>
      <c r="V780" s="4"/>
      <c r="W780" s="4"/>
      <c r="X780" s="4"/>
      <c r="Y780" s="4"/>
      <c r="Z780" s="4"/>
    </row>
    <row r="781" ht="15.75" customHeight="1">
      <c r="U781" s="4"/>
      <c r="V781" s="4"/>
      <c r="W781" s="4"/>
      <c r="X781" s="4"/>
      <c r="Y781" s="4"/>
      <c r="Z781" s="4"/>
    </row>
    <row r="782" ht="15.75" customHeight="1">
      <c r="U782" s="4"/>
      <c r="V782" s="4"/>
      <c r="W782" s="4"/>
      <c r="X782" s="4"/>
      <c r="Y782" s="4"/>
      <c r="Z782" s="4"/>
    </row>
    <row r="783" ht="15.75" customHeight="1">
      <c r="U783" s="4"/>
      <c r="V783" s="4"/>
      <c r="W783" s="4"/>
      <c r="X783" s="4"/>
      <c r="Y783" s="4"/>
      <c r="Z783" s="4"/>
    </row>
    <row r="784" ht="15.75" customHeight="1">
      <c r="U784" s="4"/>
      <c r="V784" s="4"/>
      <c r="W784" s="4"/>
      <c r="X784" s="4"/>
      <c r="Y784" s="4"/>
      <c r="Z784" s="4"/>
    </row>
    <row r="785" ht="15.75" customHeight="1">
      <c r="U785" s="4"/>
      <c r="V785" s="4"/>
      <c r="W785" s="4"/>
      <c r="X785" s="4"/>
      <c r="Y785" s="4"/>
      <c r="Z785" s="4"/>
    </row>
    <row r="786" ht="15.75" customHeight="1">
      <c r="U786" s="4"/>
      <c r="V786" s="4"/>
      <c r="W786" s="4"/>
      <c r="X786" s="4"/>
      <c r="Y786" s="4"/>
      <c r="Z786" s="4"/>
    </row>
    <row r="787" ht="15.75" customHeight="1">
      <c r="U787" s="4"/>
      <c r="V787" s="4"/>
      <c r="W787" s="4"/>
      <c r="X787" s="4"/>
      <c r="Y787" s="4"/>
      <c r="Z787" s="4"/>
    </row>
    <row r="788" ht="15.75" customHeight="1">
      <c r="U788" s="4"/>
      <c r="V788" s="4"/>
      <c r="W788" s="4"/>
      <c r="X788" s="4"/>
      <c r="Y788" s="4"/>
      <c r="Z788" s="4"/>
    </row>
    <row r="789" ht="15.75" customHeight="1">
      <c r="U789" s="4"/>
      <c r="V789" s="4"/>
      <c r="W789" s="4"/>
      <c r="X789" s="4"/>
      <c r="Y789" s="4"/>
      <c r="Z789" s="4"/>
    </row>
    <row r="790" ht="15.75" customHeight="1">
      <c r="U790" s="4"/>
      <c r="V790" s="4"/>
      <c r="W790" s="4"/>
      <c r="X790" s="4"/>
      <c r="Y790" s="4"/>
      <c r="Z790" s="4"/>
    </row>
    <row r="791" ht="15.75" customHeight="1">
      <c r="U791" s="4"/>
      <c r="V791" s="4"/>
      <c r="W791" s="4"/>
      <c r="X791" s="4"/>
      <c r="Y791" s="4"/>
      <c r="Z791" s="4"/>
    </row>
    <row r="792" ht="15.75" customHeight="1">
      <c r="U792" s="4"/>
      <c r="V792" s="4"/>
      <c r="W792" s="4"/>
      <c r="X792" s="4"/>
      <c r="Y792" s="4"/>
      <c r="Z792" s="4"/>
    </row>
    <row r="793" ht="15.75" customHeight="1">
      <c r="U793" s="4"/>
      <c r="V793" s="4"/>
      <c r="W793" s="4"/>
      <c r="X793" s="4"/>
      <c r="Y793" s="4"/>
      <c r="Z793" s="4"/>
    </row>
    <row r="794" ht="15.75" customHeight="1">
      <c r="U794" s="4"/>
      <c r="V794" s="4"/>
      <c r="W794" s="4"/>
      <c r="X794" s="4"/>
      <c r="Y794" s="4"/>
      <c r="Z794" s="4"/>
    </row>
    <row r="795" ht="15.75" customHeight="1">
      <c r="U795" s="4"/>
      <c r="V795" s="4"/>
      <c r="W795" s="4"/>
      <c r="X795" s="4"/>
      <c r="Y795" s="4"/>
      <c r="Z795" s="4"/>
    </row>
    <row r="796" ht="15.75" customHeight="1">
      <c r="U796" s="4"/>
      <c r="V796" s="4"/>
      <c r="W796" s="4"/>
      <c r="X796" s="4"/>
      <c r="Y796" s="4"/>
      <c r="Z796" s="4"/>
    </row>
    <row r="797" ht="15.75" customHeight="1">
      <c r="U797" s="4"/>
      <c r="V797" s="4"/>
      <c r="W797" s="4"/>
      <c r="X797" s="4"/>
      <c r="Y797" s="4"/>
      <c r="Z797" s="4"/>
    </row>
    <row r="798" ht="15.75" customHeight="1">
      <c r="U798" s="4"/>
      <c r="V798" s="4"/>
      <c r="W798" s="4"/>
      <c r="X798" s="4"/>
      <c r="Y798" s="4"/>
      <c r="Z798" s="4"/>
    </row>
    <row r="799" ht="15.75" customHeight="1">
      <c r="U799" s="4"/>
      <c r="V799" s="4"/>
      <c r="W799" s="4"/>
      <c r="X799" s="4"/>
      <c r="Y799" s="4"/>
      <c r="Z799" s="4"/>
    </row>
    <row r="800" ht="15.75" customHeight="1">
      <c r="U800" s="4"/>
      <c r="V800" s="4"/>
      <c r="W800" s="4"/>
      <c r="X800" s="4"/>
      <c r="Y800" s="4"/>
      <c r="Z800" s="4"/>
    </row>
    <row r="801" ht="15.75" customHeight="1">
      <c r="U801" s="4"/>
      <c r="V801" s="4"/>
      <c r="W801" s="4"/>
      <c r="X801" s="4"/>
      <c r="Y801" s="4"/>
      <c r="Z801" s="4"/>
    </row>
    <row r="802" ht="15.75" customHeight="1">
      <c r="U802" s="4"/>
      <c r="V802" s="4"/>
      <c r="W802" s="4"/>
      <c r="X802" s="4"/>
      <c r="Y802" s="4"/>
      <c r="Z802" s="4"/>
    </row>
    <row r="803" ht="15.75" customHeight="1">
      <c r="U803" s="4"/>
      <c r="V803" s="4"/>
      <c r="W803" s="4"/>
      <c r="X803" s="4"/>
      <c r="Y803" s="4"/>
      <c r="Z803" s="4"/>
    </row>
    <row r="804" ht="15.75" customHeight="1">
      <c r="U804" s="4"/>
      <c r="V804" s="4"/>
      <c r="W804" s="4"/>
      <c r="X804" s="4"/>
      <c r="Y804" s="4"/>
      <c r="Z804" s="4"/>
    </row>
    <row r="805" ht="15.75" customHeight="1">
      <c r="U805" s="4"/>
      <c r="V805" s="4"/>
      <c r="W805" s="4"/>
      <c r="X805" s="4"/>
      <c r="Y805" s="4"/>
      <c r="Z805" s="4"/>
    </row>
    <row r="806" ht="15.75" customHeight="1">
      <c r="U806" s="4"/>
      <c r="V806" s="4"/>
      <c r="W806" s="4"/>
      <c r="X806" s="4"/>
      <c r="Y806" s="4"/>
      <c r="Z806" s="4"/>
    </row>
    <row r="807" ht="15.75" customHeight="1">
      <c r="U807" s="4"/>
      <c r="V807" s="4"/>
      <c r="W807" s="4"/>
      <c r="X807" s="4"/>
      <c r="Y807" s="4"/>
      <c r="Z807" s="4"/>
    </row>
    <row r="808" ht="15.75" customHeight="1">
      <c r="U808" s="4"/>
      <c r="V808" s="4"/>
      <c r="W808" s="4"/>
      <c r="X808" s="4"/>
      <c r="Y808" s="4"/>
      <c r="Z808" s="4"/>
    </row>
    <row r="809" ht="15.75" customHeight="1">
      <c r="U809" s="4"/>
      <c r="V809" s="4"/>
      <c r="W809" s="4"/>
      <c r="X809" s="4"/>
      <c r="Y809" s="4"/>
      <c r="Z809" s="4"/>
    </row>
    <row r="810" ht="15.75" customHeight="1">
      <c r="U810" s="4"/>
      <c r="V810" s="4"/>
      <c r="W810" s="4"/>
      <c r="X810" s="4"/>
      <c r="Y810" s="4"/>
      <c r="Z810" s="4"/>
    </row>
    <row r="811" ht="15.75" customHeight="1">
      <c r="U811" s="4"/>
      <c r="V811" s="4"/>
      <c r="W811" s="4"/>
      <c r="X811" s="4"/>
      <c r="Y811" s="4"/>
      <c r="Z811" s="4"/>
    </row>
    <row r="812" ht="15.75" customHeight="1">
      <c r="U812" s="4"/>
      <c r="V812" s="4"/>
      <c r="W812" s="4"/>
      <c r="X812" s="4"/>
      <c r="Y812" s="4"/>
      <c r="Z812" s="4"/>
    </row>
    <row r="813" ht="15.75" customHeight="1">
      <c r="U813" s="4"/>
      <c r="V813" s="4"/>
      <c r="W813" s="4"/>
      <c r="X813" s="4"/>
      <c r="Y813" s="4"/>
      <c r="Z813" s="4"/>
    </row>
    <row r="814" ht="15.75" customHeight="1">
      <c r="U814" s="4"/>
      <c r="V814" s="4"/>
      <c r="W814" s="4"/>
      <c r="X814" s="4"/>
      <c r="Y814" s="4"/>
      <c r="Z814" s="4"/>
    </row>
    <row r="815" ht="15.75" customHeight="1">
      <c r="U815" s="4"/>
      <c r="V815" s="4"/>
      <c r="W815" s="4"/>
      <c r="X815" s="4"/>
      <c r="Y815" s="4"/>
      <c r="Z815" s="4"/>
    </row>
    <row r="816" ht="15.75" customHeight="1">
      <c r="U816" s="4"/>
      <c r="V816" s="4"/>
      <c r="W816" s="4"/>
      <c r="X816" s="4"/>
      <c r="Y816" s="4"/>
      <c r="Z816" s="4"/>
    </row>
    <row r="817" ht="15.75" customHeight="1">
      <c r="U817" s="4"/>
      <c r="V817" s="4"/>
      <c r="W817" s="4"/>
      <c r="X817" s="4"/>
      <c r="Y817" s="4"/>
      <c r="Z817" s="4"/>
    </row>
    <row r="818" ht="15.75" customHeight="1">
      <c r="U818" s="4"/>
      <c r="V818" s="4"/>
      <c r="W818" s="4"/>
      <c r="X818" s="4"/>
      <c r="Y818" s="4"/>
      <c r="Z818" s="4"/>
    </row>
    <row r="819" ht="15.75" customHeight="1">
      <c r="U819" s="4"/>
      <c r="V819" s="4"/>
      <c r="W819" s="4"/>
      <c r="X819" s="4"/>
      <c r="Y819" s="4"/>
      <c r="Z819" s="4"/>
    </row>
    <row r="820" ht="15.75" customHeight="1">
      <c r="U820" s="4"/>
      <c r="V820" s="4"/>
      <c r="W820" s="4"/>
      <c r="X820" s="4"/>
      <c r="Y820" s="4"/>
      <c r="Z820" s="4"/>
    </row>
    <row r="821" ht="15.75" customHeight="1">
      <c r="U821" s="4"/>
      <c r="V821" s="4"/>
      <c r="W821" s="4"/>
      <c r="X821" s="4"/>
      <c r="Y821" s="4"/>
      <c r="Z821" s="4"/>
    </row>
    <row r="822" ht="15.75" customHeight="1">
      <c r="U822" s="4"/>
      <c r="V822" s="4"/>
      <c r="W822" s="4"/>
      <c r="X822" s="4"/>
      <c r="Y822" s="4"/>
      <c r="Z822" s="4"/>
    </row>
    <row r="823" ht="15.75" customHeight="1">
      <c r="U823" s="4"/>
      <c r="V823" s="4"/>
      <c r="W823" s="4"/>
      <c r="X823" s="4"/>
      <c r="Y823" s="4"/>
      <c r="Z823" s="4"/>
    </row>
    <row r="824" ht="15.75" customHeight="1">
      <c r="U824" s="4"/>
      <c r="V824" s="4"/>
      <c r="W824" s="4"/>
      <c r="X824" s="4"/>
      <c r="Y824" s="4"/>
      <c r="Z824" s="4"/>
    </row>
    <row r="825" ht="15.75" customHeight="1">
      <c r="U825" s="4"/>
      <c r="V825" s="4"/>
      <c r="W825" s="4"/>
      <c r="X825" s="4"/>
      <c r="Y825" s="4"/>
      <c r="Z825" s="4"/>
    </row>
  </sheetData>
  <mergeCells count="1">
    <mergeCell ref="A1:D1"/>
  </mergeCells>
  <printOptions/>
  <pageMargins bottom="0.7480314960629921" footer="0.0" header="0.0" left="0.03937007874015748" right="0.03937007874015748" top="0.7480314960629921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33.0"/>
    <col customWidth="1" min="2" max="2" width="12.71"/>
    <col customWidth="1" min="3" max="3" width="26.0"/>
    <col customWidth="1" min="4" max="4" width="74.86"/>
    <col customWidth="1" min="5" max="5" width="20.57"/>
    <col customWidth="1" min="6" max="6" width="25.86"/>
    <col customWidth="1" min="7" max="7" width="38.71"/>
    <col customWidth="1" min="8" max="8" width="20.71"/>
    <col customWidth="1" min="9" max="9" width="13.86"/>
    <col customWidth="1" hidden="1" min="10" max="12" width="9.14"/>
    <col customWidth="1" min="13" max="26" width="9.14"/>
  </cols>
  <sheetData>
    <row r="1" ht="18.0" customHeight="1">
      <c r="A1" s="29"/>
      <c r="B1" s="29"/>
      <c r="C1" s="30" t="s">
        <v>24</v>
      </c>
      <c r="J1" s="29"/>
      <c r="K1" s="29"/>
      <c r="L1" s="29"/>
      <c r="M1" s="29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8.0" customHeight="1">
      <c r="A2" s="29"/>
      <c r="B2" s="29"/>
      <c r="C2" s="32"/>
      <c r="D2" s="29"/>
      <c r="E2" s="29"/>
      <c r="F2" s="29"/>
      <c r="G2" s="33"/>
      <c r="H2" s="33"/>
      <c r="I2" s="29"/>
      <c r="J2" s="29"/>
      <c r="K2" s="29"/>
      <c r="L2" s="29"/>
      <c r="M2" s="29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8.0" customHeight="1">
      <c r="A3" s="29"/>
      <c r="B3" s="29"/>
      <c r="C3" s="34"/>
      <c r="D3" s="35" t="s">
        <v>25</v>
      </c>
      <c r="E3" s="36"/>
      <c r="F3" s="36"/>
      <c r="G3" s="37" t="s">
        <v>26</v>
      </c>
      <c r="H3" s="38" t="s">
        <v>27</v>
      </c>
      <c r="I3" s="29"/>
      <c r="J3" s="39" t="s">
        <v>28</v>
      </c>
      <c r="M3" s="29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8.0" customHeight="1">
      <c r="A4" s="40"/>
      <c r="B4" s="29"/>
      <c r="C4" s="41"/>
      <c r="D4" s="42">
        <v>2026.0</v>
      </c>
      <c r="E4" s="29"/>
      <c r="F4" s="29"/>
      <c r="G4" s="43" t="s">
        <v>29</v>
      </c>
      <c r="H4" s="44">
        <v>1.0</v>
      </c>
      <c r="I4" s="29"/>
      <c r="J4" s="45">
        <v>1.0</v>
      </c>
      <c r="K4" s="46" t="str">
        <f t="shared" ref="K4:K5" si="1">CONCATENATE(J4,G4)</f>
        <v>1ILS</v>
      </c>
      <c r="L4" s="47">
        <f t="shared" ref="L4:L5" si="2">+H4</f>
        <v>1</v>
      </c>
      <c r="M4" s="29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8.0" customHeight="1">
      <c r="A5" s="29"/>
      <c r="B5" s="29"/>
      <c r="C5" s="41"/>
      <c r="D5" s="29"/>
      <c r="E5" s="29"/>
      <c r="F5" s="29"/>
      <c r="G5" s="43" t="s">
        <v>30</v>
      </c>
      <c r="H5" s="48">
        <v>0.45</v>
      </c>
      <c r="I5" s="29"/>
      <c r="J5" s="49">
        <v>2.0</v>
      </c>
      <c r="K5" s="50" t="str">
        <f t="shared" si="1"/>
        <v>2RMB</v>
      </c>
      <c r="L5" s="51">
        <f t="shared" si="2"/>
        <v>0.45</v>
      </c>
      <c r="M5" s="29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8.0" customHeight="1">
      <c r="A6" s="29"/>
      <c r="B6" s="29"/>
      <c r="C6" s="41"/>
      <c r="D6" s="29"/>
      <c r="E6" s="29"/>
      <c r="F6" s="29"/>
      <c r="G6" s="52" t="s">
        <v>31</v>
      </c>
      <c r="H6" s="53">
        <v>0.477</v>
      </c>
      <c r="I6" s="29"/>
      <c r="J6" s="49"/>
      <c r="K6" s="50"/>
      <c r="L6" s="51"/>
      <c r="M6" s="29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8.0" customHeight="1">
      <c r="A7" s="29"/>
      <c r="B7" s="29"/>
      <c r="C7" s="32" t="s">
        <v>32</v>
      </c>
      <c r="D7" s="54"/>
      <c r="E7" s="29"/>
      <c r="F7" s="29"/>
      <c r="G7" s="55" t="s">
        <v>33</v>
      </c>
      <c r="H7" s="56">
        <v>3.44</v>
      </c>
      <c r="I7" s="29"/>
      <c r="J7" s="49">
        <v>3.0</v>
      </c>
      <c r="K7" s="50" t="str">
        <f>CONCATENATE(J7,G7)</f>
        <v>3USD</v>
      </c>
      <c r="L7" s="51">
        <f>+H7</f>
        <v>3.44</v>
      </c>
      <c r="M7" s="29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8.0" customHeight="1">
      <c r="A8" s="29"/>
      <c r="B8" s="29"/>
      <c r="C8" s="32"/>
      <c r="D8" s="54"/>
      <c r="E8" s="29"/>
      <c r="F8" s="36"/>
      <c r="G8" s="57" t="s">
        <v>34</v>
      </c>
      <c r="H8" s="58">
        <v>0.092</v>
      </c>
      <c r="I8" s="29"/>
      <c r="J8" s="59"/>
      <c r="K8" s="60"/>
      <c r="L8" s="61"/>
      <c r="M8" s="29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8.0" customHeight="1">
      <c r="A9" s="29"/>
      <c r="B9" s="29"/>
      <c r="C9" s="32" t="s">
        <v>35</v>
      </c>
      <c r="D9" s="54"/>
      <c r="E9" s="29"/>
      <c r="F9" s="36"/>
      <c r="G9" s="62" t="s">
        <v>36</v>
      </c>
      <c r="H9" s="48">
        <v>0.45</v>
      </c>
      <c r="I9" s="29"/>
      <c r="J9" s="63">
        <v>5.0</v>
      </c>
      <c r="K9" s="64" t="str">
        <f>CONCATENATE(J9,G9)</f>
        <v>5CNY</v>
      </c>
      <c r="L9" s="65">
        <f>+H9</f>
        <v>0.45</v>
      </c>
      <c r="M9" s="29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8.0" customHeight="1">
      <c r="A10" s="29"/>
      <c r="B10" s="29"/>
      <c r="C10" s="66"/>
      <c r="D10" s="29"/>
      <c r="E10" s="29"/>
      <c r="F10" s="29"/>
      <c r="G10" s="67"/>
      <c r="H10" s="67"/>
      <c r="I10" s="29"/>
      <c r="J10" s="29"/>
      <c r="K10" s="29"/>
      <c r="L10" s="29"/>
      <c r="M10" s="29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9.5" customHeight="1">
      <c r="A11" s="29"/>
      <c r="B11" s="29"/>
      <c r="C11" s="68" t="s">
        <v>37</v>
      </c>
      <c r="D11" s="69" t="s">
        <v>38</v>
      </c>
      <c r="E11" s="70" t="s">
        <v>39</v>
      </c>
      <c r="F11" s="70" t="s">
        <v>40</v>
      </c>
      <c r="G11" s="70" t="s">
        <v>5</v>
      </c>
      <c r="H11" s="71" t="s">
        <v>41</v>
      </c>
      <c r="I11" s="72"/>
      <c r="J11" s="29"/>
      <c r="K11" s="29"/>
      <c r="L11" s="29"/>
      <c r="M11" s="29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9.5" customHeight="1">
      <c r="A12" s="29"/>
      <c r="B12" s="29"/>
      <c r="C12" s="73"/>
      <c r="D12" s="74"/>
      <c r="E12" s="75"/>
      <c r="F12" s="75"/>
      <c r="G12" s="76"/>
      <c r="H12" s="77"/>
      <c r="I12" s="78"/>
      <c r="J12" s="29"/>
      <c r="K12" s="29"/>
      <c r="L12" s="29"/>
      <c r="M12" s="29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8.0" customHeight="1">
      <c r="A13" s="29"/>
      <c r="B13" s="29"/>
      <c r="C13" s="79"/>
      <c r="D13" s="80"/>
      <c r="E13" s="81"/>
      <c r="F13" s="82"/>
      <c r="G13" s="64"/>
      <c r="H13" s="80"/>
      <c r="I13" s="83"/>
      <c r="J13" s="29"/>
      <c r="K13" s="29"/>
      <c r="L13" s="29"/>
      <c r="M13" s="29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8.0" customHeight="1">
      <c r="A14" s="29"/>
      <c r="B14" s="29"/>
      <c r="C14" s="66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8.0" customHeight="1">
      <c r="A15" s="29"/>
      <c r="B15" s="29"/>
      <c r="C15" s="84" t="s">
        <v>42</v>
      </c>
      <c r="J15" s="29"/>
      <c r="K15" s="29"/>
      <c r="L15" s="29"/>
      <c r="M15" s="29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8.0" customHeight="1">
      <c r="A16" s="29"/>
      <c r="B16" s="29"/>
      <c r="C16" s="85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8.0" customHeight="1">
      <c r="A17" s="29"/>
      <c r="B17" s="29"/>
      <c r="C17" s="86" t="s">
        <v>14</v>
      </c>
      <c r="D17" s="87"/>
      <c r="E17" s="87"/>
      <c r="F17" s="87"/>
      <c r="G17" s="87"/>
      <c r="H17" s="87"/>
      <c r="I17" s="88"/>
      <c r="J17" s="29"/>
      <c r="K17" s="29"/>
      <c r="L17" s="29"/>
      <c r="M17" s="29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9.5" customHeight="1">
      <c r="A18" s="29"/>
      <c r="B18" s="29"/>
      <c r="C18" s="68" t="s">
        <v>43</v>
      </c>
      <c r="D18" s="70" t="s">
        <v>44</v>
      </c>
      <c r="E18" s="70" t="s">
        <v>45</v>
      </c>
      <c r="F18" s="70" t="s">
        <v>46</v>
      </c>
      <c r="G18" s="70" t="s">
        <v>47</v>
      </c>
      <c r="H18" s="70" t="s">
        <v>48</v>
      </c>
      <c r="I18" s="89" t="s">
        <v>49</v>
      </c>
      <c r="J18" s="29"/>
      <c r="K18" s="29"/>
      <c r="L18" s="29"/>
      <c r="M18" s="29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9.5" customHeight="1">
      <c r="A19" s="29"/>
      <c r="B19" s="90" t="s">
        <v>14</v>
      </c>
      <c r="C19" s="91"/>
      <c r="D19" s="92"/>
      <c r="E19" s="93"/>
      <c r="F19" s="94"/>
      <c r="G19" s="95" t="str">
        <f>IF(E19="","",IF(F19="","",(VLOOKUP(E19,RATELI,2,0)*F19)))</f>
        <v/>
      </c>
      <c r="H19" s="96" t="s">
        <v>50</v>
      </c>
      <c r="I19" s="97"/>
      <c r="J19" s="29"/>
      <c r="K19" s="29"/>
      <c r="L19" s="29"/>
      <c r="M19" s="29"/>
      <c r="N19" s="31"/>
      <c r="O19" s="31"/>
      <c r="P19" s="31"/>
      <c r="Q19" s="31"/>
      <c r="R19" s="31"/>
      <c r="S19" s="31"/>
      <c r="T19" s="31"/>
      <c r="U19" s="31"/>
      <c r="V19" s="31"/>
      <c r="W19" s="98"/>
      <c r="X19" s="31"/>
      <c r="Y19" s="31"/>
      <c r="Z19" s="31"/>
    </row>
    <row r="20" ht="19.5" customHeight="1">
      <c r="A20" s="29"/>
      <c r="B20" s="90" t="s">
        <v>14</v>
      </c>
      <c r="C20" s="91"/>
      <c r="D20" s="93"/>
      <c r="E20" s="93"/>
      <c r="F20" s="94"/>
      <c r="G20" s="99" t="str">
        <f>IF(E20="","",IF(F20="","",(VLOOKUP(E20,RATELI,2,0)*F20)))</f>
        <v/>
      </c>
      <c r="H20" s="100"/>
      <c r="I20" s="97"/>
      <c r="J20" s="29"/>
      <c r="K20" s="29"/>
      <c r="L20" s="29"/>
      <c r="M20" s="29"/>
      <c r="N20" s="31"/>
      <c r="O20" s="31"/>
      <c r="P20" s="31"/>
      <c r="Q20" s="31"/>
      <c r="R20" s="31"/>
      <c r="S20" s="31"/>
      <c r="T20" s="31"/>
      <c r="U20" s="31"/>
      <c r="V20" s="31"/>
      <c r="W20" s="98"/>
      <c r="X20" s="31"/>
      <c r="Y20" s="31"/>
      <c r="Z20" s="31"/>
    </row>
    <row r="21" ht="18.0" customHeight="1">
      <c r="A21" s="29"/>
      <c r="B21" s="90" t="s">
        <v>14</v>
      </c>
      <c r="C21" s="101"/>
      <c r="D21" s="102"/>
      <c r="E21" s="64"/>
      <c r="F21" s="103"/>
      <c r="G21" s="104" t="str">
        <f>IF(E21="","",IF(F21="","",(VLOOKUP(E21,RATELI,2,0)*F21)))</f>
        <v/>
      </c>
      <c r="H21" s="105"/>
      <c r="I21" s="65"/>
      <c r="J21" s="29"/>
      <c r="K21" s="29"/>
      <c r="L21" s="29"/>
      <c r="M21" s="29"/>
      <c r="N21" s="31"/>
      <c r="O21" s="31"/>
      <c r="P21" s="31"/>
      <c r="Q21" s="31"/>
      <c r="R21" s="31"/>
      <c r="S21" s="31"/>
      <c r="T21" s="31"/>
      <c r="U21" s="31"/>
      <c r="V21" s="31"/>
      <c r="W21" s="98"/>
      <c r="X21" s="31"/>
      <c r="Y21" s="31"/>
      <c r="Z21" s="31"/>
    </row>
    <row r="22" ht="18.0" customHeight="1">
      <c r="A22" s="29"/>
      <c r="B22" s="29"/>
      <c r="C22" s="66"/>
      <c r="D22" s="29"/>
      <c r="E22" s="29"/>
      <c r="F22" s="106" t="s">
        <v>51</v>
      </c>
      <c r="G22" s="107">
        <f>SUM(G19:G21)</f>
        <v>0</v>
      </c>
      <c r="H22" s="29"/>
      <c r="I22" s="29"/>
      <c r="J22" s="29"/>
      <c r="K22" s="29"/>
      <c r="L22" s="29"/>
      <c r="M22" s="29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8.0" customHeight="1">
      <c r="A23" s="29"/>
      <c r="B23" s="29"/>
      <c r="C23" s="66"/>
      <c r="D23" s="29"/>
      <c r="E23" s="108" t="s">
        <v>52</v>
      </c>
      <c r="F23" s="109" t="s">
        <v>53</v>
      </c>
      <c r="G23" s="110">
        <f>SUMIF(H19:H21,"העובד",G19:G21)</f>
        <v>0</v>
      </c>
      <c r="H23" s="29"/>
      <c r="I23" s="29"/>
      <c r="J23" s="29"/>
      <c r="K23" s="29"/>
      <c r="L23" s="29"/>
      <c r="M23" s="29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8.0" customHeight="1">
      <c r="A24" s="29"/>
      <c r="B24" s="29"/>
      <c r="C24" s="66"/>
      <c r="D24" s="29"/>
      <c r="E24" s="108" t="s">
        <v>54</v>
      </c>
      <c r="F24" s="109" t="s">
        <v>50</v>
      </c>
      <c r="G24" s="110">
        <f>SUMIF(H19:H21,"כ. אשראי חברה",G19:G21)</f>
        <v>0</v>
      </c>
      <c r="H24" s="29"/>
      <c r="I24" s="29"/>
      <c r="J24" s="29"/>
      <c r="K24" s="29"/>
      <c r="L24" s="29"/>
      <c r="M24" s="29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8.0" customHeight="1">
      <c r="A25" s="29"/>
      <c r="B25" s="29"/>
      <c r="C25" s="66"/>
      <c r="D25" s="29"/>
      <c r="E25" s="111"/>
      <c r="F25" s="112"/>
      <c r="G25" s="110"/>
      <c r="H25" s="29"/>
      <c r="I25" s="29"/>
      <c r="J25" s="29"/>
      <c r="K25" s="29"/>
      <c r="L25" s="29"/>
      <c r="M25" s="29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8.0" customHeight="1">
      <c r="A26" s="29"/>
      <c r="B26" s="29"/>
      <c r="C26" s="113" t="s">
        <v>15</v>
      </c>
      <c r="D26" s="114"/>
      <c r="E26" s="114"/>
      <c r="F26" s="114"/>
      <c r="G26" s="114"/>
      <c r="H26" s="114"/>
      <c r="I26" s="115"/>
      <c r="J26" s="29"/>
      <c r="K26" s="29"/>
      <c r="L26" s="29"/>
      <c r="M26" s="29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9.5" customHeight="1">
      <c r="A27" s="29"/>
      <c r="B27" s="29"/>
      <c r="C27" s="116" t="s">
        <v>43</v>
      </c>
      <c r="D27" s="117" t="s">
        <v>55</v>
      </c>
      <c r="E27" s="117" t="s">
        <v>45</v>
      </c>
      <c r="F27" s="117" t="s">
        <v>46</v>
      </c>
      <c r="G27" s="117" t="s">
        <v>47</v>
      </c>
      <c r="H27" s="117" t="s">
        <v>48</v>
      </c>
      <c r="I27" s="118" t="s">
        <v>49</v>
      </c>
      <c r="J27" s="29"/>
      <c r="K27" s="29"/>
      <c r="L27" s="29"/>
      <c r="M27" s="29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9.5" customHeight="1">
      <c r="A28" s="29"/>
      <c r="B28" s="119" t="s">
        <v>15</v>
      </c>
      <c r="C28" s="75"/>
      <c r="D28" s="120"/>
      <c r="E28" s="121"/>
      <c r="F28" s="122"/>
      <c r="G28" s="99"/>
      <c r="H28" s="123"/>
      <c r="I28" s="124"/>
      <c r="J28" s="29"/>
      <c r="K28" s="29"/>
      <c r="L28" s="29"/>
      <c r="M28" s="29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9.5" customHeight="1">
      <c r="A29" s="29"/>
      <c r="B29" s="119" t="s">
        <v>15</v>
      </c>
      <c r="C29" s="75"/>
      <c r="D29" s="125"/>
      <c r="E29" s="126"/>
      <c r="F29" s="126"/>
      <c r="G29" s="99"/>
      <c r="H29" s="127"/>
      <c r="I29" s="51"/>
      <c r="J29" s="29"/>
      <c r="K29" s="29"/>
      <c r="L29" s="29"/>
      <c r="M29" s="29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9.5" customHeight="1">
      <c r="A30" s="29"/>
      <c r="B30" s="119" t="s">
        <v>15</v>
      </c>
      <c r="C30" s="128"/>
      <c r="D30" s="125"/>
      <c r="E30" s="126"/>
      <c r="F30" s="126"/>
      <c r="G30" s="99"/>
      <c r="H30" s="127"/>
      <c r="I30" s="51"/>
      <c r="J30" s="29"/>
      <c r="K30" s="29"/>
      <c r="L30" s="29"/>
      <c r="M30" s="29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9.5" customHeight="1">
      <c r="A31" s="29"/>
      <c r="B31" s="119" t="s">
        <v>15</v>
      </c>
      <c r="C31" s="128"/>
      <c r="D31" s="125"/>
      <c r="E31" s="126"/>
      <c r="F31" s="126"/>
      <c r="G31" s="99"/>
      <c r="H31" s="127"/>
      <c r="I31" s="51"/>
      <c r="J31" s="29"/>
      <c r="K31" s="29"/>
      <c r="L31" s="29"/>
      <c r="M31" s="29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9.5" customHeight="1">
      <c r="A32" s="29"/>
      <c r="B32" s="119" t="s">
        <v>15</v>
      </c>
      <c r="C32" s="128"/>
      <c r="D32" s="125"/>
      <c r="E32" s="126"/>
      <c r="F32" s="126"/>
      <c r="G32" s="99"/>
      <c r="H32" s="127"/>
      <c r="I32" s="51"/>
      <c r="J32" s="29"/>
      <c r="K32" s="29"/>
      <c r="L32" s="29"/>
      <c r="M32" s="29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9.5" customHeight="1">
      <c r="A33" s="29"/>
      <c r="B33" s="119" t="s">
        <v>15</v>
      </c>
      <c r="C33" s="128"/>
      <c r="D33" s="125"/>
      <c r="E33" s="126"/>
      <c r="F33" s="126"/>
      <c r="G33" s="99"/>
      <c r="H33" s="127"/>
      <c r="I33" s="51"/>
      <c r="J33" s="29"/>
      <c r="K33" s="29"/>
      <c r="L33" s="29"/>
      <c r="M33" s="29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8.0" customHeight="1">
      <c r="A34" s="29"/>
      <c r="B34" s="119" t="s">
        <v>15</v>
      </c>
      <c r="C34" s="128"/>
      <c r="D34" s="125"/>
      <c r="E34" s="126"/>
      <c r="F34" s="126"/>
      <c r="G34" s="99"/>
      <c r="H34" s="125"/>
      <c r="I34" s="51"/>
      <c r="J34" s="29"/>
      <c r="K34" s="29"/>
      <c r="L34" s="29"/>
      <c r="M34" s="29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8.0" customHeight="1">
      <c r="A35" s="29"/>
      <c r="B35" s="119" t="s">
        <v>15</v>
      </c>
      <c r="C35" s="128"/>
      <c r="D35" s="125"/>
      <c r="E35" s="126"/>
      <c r="F35" s="126"/>
      <c r="G35" s="99"/>
      <c r="H35" s="125"/>
      <c r="I35" s="51"/>
      <c r="J35" s="29"/>
      <c r="K35" s="29"/>
      <c r="L35" s="29"/>
      <c r="M35" s="29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8.0" customHeight="1">
      <c r="A36" s="29"/>
      <c r="B36" s="119" t="s">
        <v>15</v>
      </c>
      <c r="C36" s="129"/>
      <c r="D36" s="130"/>
      <c r="E36" s="76"/>
      <c r="F36" s="76"/>
      <c r="G36" s="95"/>
      <c r="H36" s="130"/>
      <c r="I36" s="97"/>
      <c r="J36" s="29"/>
      <c r="K36" s="29"/>
      <c r="L36" s="29"/>
      <c r="M36" s="29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8.0" customHeight="1">
      <c r="A37" s="29"/>
      <c r="B37" s="119" t="s">
        <v>15</v>
      </c>
      <c r="C37" s="128"/>
      <c r="D37" s="125"/>
      <c r="E37" s="126"/>
      <c r="F37" s="126"/>
      <c r="G37" s="99"/>
      <c r="H37" s="125"/>
      <c r="I37" s="51"/>
      <c r="J37" s="29"/>
      <c r="K37" s="29"/>
      <c r="L37" s="29"/>
      <c r="M37" s="29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8.0" customHeight="1">
      <c r="A38" s="29"/>
      <c r="B38" s="119" t="s">
        <v>15</v>
      </c>
      <c r="C38" s="128"/>
      <c r="D38" s="125"/>
      <c r="E38" s="126"/>
      <c r="F38" s="126"/>
      <c r="G38" s="99"/>
      <c r="H38" s="125"/>
      <c r="I38" s="51"/>
      <c r="J38" s="29"/>
      <c r="K38" s="29"/>
      <c r="L38" s="29"/>
      <c r="M38" s="29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8.0" customHeight="1">
      <c r="A39" s="29"/>
      <c r="B39" s="119" t="s">
        <v>15</v>
      </c>
      <c r="C39" s="128"/>
      <c r="D39" s="131"/>
      <c r="E39" s="126"/>
      <c r="F39" s="132"/>
      <c r="G39" s="99"/>
      <c r="H39" s="125"/>
      <c r="I39" s="51"/>
      <c r="J39" s="29"/>
      <c r="K39" s="29"/>
      <c r="L39" s="29"/>
      <c r="M39" s="29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8.0" customHeight="1">
      <c r="A40" s="29"/>
      <c r="B40" s="119" t="s">
        <v>15</v>
      </c>
      <c r="C40" s="128"/>
      <c r="D40" s="125"/>
      <c r="E40" s="126"/>
      <c r="F40" s="126"/>
      <c r="G40" s="99"/>
      <c r="H40" s="125"/>
      <c r="I40" s="51"/>
      <c r="J40" s="133"/>
      <c r="K40" s="29"/>
      <c r="L40" s="29"/>
      <c r="M40" s="29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8.0" customHeight="1">
      <c r="A41" s="29"/>
      <c r="B41" s="119" t="s">
        <v>15</v>
      </c>
      <c r="C41" s="128"/>
      <c r="D41" s="125"/>
      <c r="E41" s="126"/>
      <c r="F41" s="126"/>
      <c r="G41" s="99"/>
      <c r="H41" s="125"/>
      <c r="I41" s="51"/>
      <c r="J41" s="29"/>
      <c r="K41" s="29"/>
      <c r="L41" s="29"/>
      <c r="M41" s="29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8.0" customHeight="1">
      <c r="A42" s="29"/>
      <c r="B42" s="119" t="s">
        <v>15</v>
      </c>
      <c r="C42" s="128"/>
      <c r="D42" s="125"/>
      <c r="E42" s="126"/>
      <c r="F42" s="126"/>
      <c r="G42" s="99"/>
      <c r="H42" s="125"/>
      <c r="I42" s="51"/>
      <c r="J42" s="29"/>
      <c r="K42" s="29"/>
      <c r="L42" s="29"/>
      <c r="M42" s="29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8.0" customHeight="1">
      <c r="A43" s="29"/>
      <c r="B43" s="119" t="s">
        <v>15</v>
      </c>
      <c r="C43" s="128"/>
      <c r="D43" s="125"/>
      <c r="E43" s="126"/>
      <c r="F43" s="126"/>
      <c r="G43" s="99"/>
      <c r="H43" s="125"/>
      <c r="I43" s="51"/>
      <c r="J43" s="29"/>
      <c r="K43" s="29"/>
      <c r="L43" s="29"/>
      <c r="M43" s="29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8.0" customHeight="1">
      <c r="A44" s="29"/>
      <c r="B44" s="119" t="s">
        <v>15</v>
      </c>
      <c r="C44" s="128"/>
      <c r="D44" s="125"/>
      <c r="E44" s="126"/>
      <c r="F44" s="126"/>
      <c r="G44" s="99"/>
      <c r="H44" s="125"/>
      <c r="I44" s="51"/>
      <c r="J44" s="29"/>
      <c r="K44" s="29"/>
      <c r="L44" s="29"/>
      <c r="M44" s="29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9.5" customHeight="1">
      <c r="A45" s="29"/>
      <c r="B45" s="119" t="s">
        <v>15</v>
      </c>
      <c r="C45" s="128"/>
      <c r="D45" s="125"/>
      <c r="E45" s="126"/>
      <c r="F45" s="126"/>
      <c r="G45" s="99"/>
      <c r="H45" s="125"/>
      <c r="I45" s="51"/>
      <c r="J45" s="29"/>
      <c r="K45" s="29"/>
      <c r="L45" s="29"/>
      <c r="M45" s="29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9.5" customHeight="1">
      <c r="A46" s="29"/>
      <c r="B46" s="119" t="s">
        <v>15</v>
      </c>
      <c r="C46" s="128"/>
      <c r="D46" s="125"/>
      <c r="E46" s="126"/>
      <c r="F46" s="126"/>
      <c r="G46" s="99"/>
      <c r="H46" s="125"/>
      <c r="I46" s="51"/>
      <c r="J46" s="29"/>
      <c r="K46" s="29"/>
      <c r="L46" s="29"/>
      <c r="M46" s="29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8.0" customHeight="1">
      <c r="A47" s="29"/>
      <c r="B47" s="119" t="s">
        <v>15</v>
      </c>
      <c r="C47" s="128"/>
      <c r="D47" s="131"/>
      <c r="E47" s="132"/>
      <c r="F47" s="132"/>
      <c r="G47" s="104"/>
      <c r="H47" s="125"/>
      <c r="I47" s="65"/>
      <c r="J47" s="29"/>
      <c r="K47" s="29"/>
      <c r="L47" s="29"/>
      <c r="M47" s="29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8.0" customHeight="1">
      <c r="A48" s="29"/>
      <c r="B48" s="119" t="s">
        <v>15</v>
      </c>
      <c r="C48" s="128"/>
      <c r="D48" s="131"/>
      <c r="E48" s="132"/>
      <c r="F48" s="132"/>
      <c r="G48" s="104"/>
      <c r="H48" s="125"/>
      <c r="I48" s="65"/>
      <c r="J48" s="29"/>
      <c r="K48" s="29"/>
      <c r="L48" s="29"/>
      <c r="M48" s="29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8.0" customHeight="1">
      <c r="A49" s="29"/>
      <c r="B49" s="119" t="s">
        <v>15</v>
      </c>
      <c r="C49" s="128"/>
      <c r="D49" s="131"/>
      <c r="E49" s="132"/>
      <c r="F49" s="132"/>
      <c r="G49" s="104"/>
      <c r="H49" s="125"/>
      <c r="I49" s="65"/>
      <c r="J49" s="29"/>
      <c r="K49" s="29"/>
      <c r="L49" s="29"/>
      <c r="M49" s="29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8.0" customHeight="1">
      <c r="A50" s="29"/>
      <c r="B50" s="119" t="s">
        <v>15</v>
      </c>
      <c r="C50" s="128"/>
      <c r="D50" s="131"/>
      <c r="E50" s="132"/>
      <c r="F50" s="132"/>
      <c r="G50" s="104"/>
      <c r="H50" s="125"/>
      <c r="I50" s="65"/>
      <c r="J50" s="29"/>
      <c r="K50" s="29"/>
      <c r="L50" s="29"/>
      <c r="M50" s="29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8.0" customHeight="1">
      <c r="A51" s="29"/>
      <c r="B51" s="119" t="s">
        <v>15</v>
      </c>
      <c r="C51" s="128"/>
      <c r="D51" s="131"/>
      <c r="E51" s="132"/>
      <c r="F51" s="132"/>
      <c r="G51" s="104"/>
      <c r="H51" s="125"/>
      <c r="I51" s="65"/>
      <c r="J51" s="29"/>
      <c r="K51" s="29"/>
      <c r="L51" s="29"/>
      <c r="M51" s="29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8.0" customHeight="1">
      <c r="A52" s="29"/>
      <c r="B52" s="119" t="s">
        <v>15</v>
      </c>
      <c r="C52" s="134"/>
      <c r="D52" s="135"/>
      <c r="E52" s="136"/>
      <c r="F52" s="136"/>
      <c r="G52" s="137"/>
      <c r="H52" s="125"/>
      <c r="I52" s="138"/>
      <c r="J52" s="29"/>
      <c r="K52" s="29"/>
      <c r="L52" s="29"/>
      <c r="M52" s="29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8.0" customHeight="1">
      <c r="A53" s="29"/>
      <c r="B53" s="119" t="s">
        <v>15</v>
      </c>
      <c r="C53" s="134"/>
      <c r="D53" s="135"/>
      <c r="E53" s="136"/>
      <c r="F53" s="136"/>
      <c r="G53" s="137"/>
      <c r="H53" s="125"/>
      <c r="I53" s="138"/>
      <c r="J53" s="29"/>
      <c r="K53" s="29"/>
      <c r="L53" s="29"/>
      <c r="M53" s="29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9.5" customHeight="1">
      <c r="A54" s="29"/>
      <c r="B54" s="119" t="s">
        <v>15</v>
      </c>
      <c r="C54" s="134"/>
      <c r="D54" s="135"/>
      <c r="E54" s="136"/>
      <c r="F54" s="136"/>
      <c r="G54" s="137"/>
      <c r="H54" s="125"/>
      <c r="I54" s="138"/>
      <c r="J54" s="29"/>
      <c r="K54" s="29"/>
      <c r="L54" s="29"/>
      <c r="M54" s="29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9.5" customHeight="1">
      <c r="A55" s="29"/>
      <c r="B55" s="119" t="s">
        <v>15</v>
      </c>
      <c r="C55" s="128"/>
      <c r="D55" s="131"/>
      <c r="E55" s="132"/>
      <c r="F55" s="132"/>
      <c r="G55" s="104"/>
      <c r="H55" s="125"/>
      <c r="I55" s="65"/>
      <c r="J55" s="29"/>
      <c r="K55" s="29"/>
      <c r="L55" s="29"/>
      <c r="M55" s="29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9.5" customHeight="1">
      <c r="A56" s="29"/>
      <c r="B56" s="119" t="s">
        <v>15</v>
      </c>
      <c r="C56" s="128"/>
      <c r="D56" s="139"/>
      <c r="E56" s="139"/>
      <c r="F56" s="139"/>
      <c r="G56" s="140"/>
      <c r="H56" s="125"/>
      <c r="I56" s="65"/>
      <c r="J56" s="29"/>
      <c r="K56" s="29"/>
      <c r="L56" s="29"/>
      <c r="M56" s="29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9.5" customHeight="1">
      <c r="A57" s="29"/>
      <c r="B57" s="119" t="s">
        <v>15</v>
      </c>
      <c r="C57" s="128"/>
      <c r="D57" s="131"/>
      <c r="E57" s="132"/>
      <c r="F57" s="132"/>
      <c r="G57" s="104"/>
      <c r="H57" s="125"/>
      <c r="I57" s="65"/>
      <c r="J57" s="29"/>
      <c r="K57" s="29"/>
      <c r="L57" s="29"/>
      <c r="M57" s="29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8.0" customHeight="1">
      <c r="A58" s="29"/>
      <c r="B58" s="119" t="s">
        <v>15</v>
      </c>
      <c r="C58" s="128"/>
      <c r="D58" s="131"/>
      <c r="E58" s="132"/>
      <c r="F58" s="132"/>
      <c r="G58" s="104"/>
      <c r="H58" s="125"/>
      <c r="I58" s="65"/>
      <c r="J58" s="29"/>
      <c r="K58" s="29"/>
      <c r="L58" s="29"/>
      <c r="M58" s="29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8.0" customHeight="1">
      <c r="A59" s="29"/>
      <c r="B59" s="119" t="s">
        <v>15</v>
      </c>
      <c r="C59" s="128"/>
      <c r="D59" s="131"/>
      <c r="E59" s="132"/>
      <c r="F59" s="132"/>
      <c r="G59" s="104"/>
      <c r="H59" s="125"/>
      <c r="I59" s="65"/>
      <c r="J59" s="29"/>
      <c r="K59" s="29"/>
      <c r="L59" s="29"/>
      <c r="M59" s="29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8.0" customHeight="1">
      <c r="A60" s="29"/>
      <c r="B60" s="119" t="s">
        <v>15</v>
      </c>
      <c r="C60" s="128"/>
      <c r="D60" s="131"/>
      <c r="E60" s="132"/>
      <c r="F60" s="132"/>
      <c r="G60" s="104"/>
      <c r="H60" s="125"/>
      <c r="I60" s="65"/>
      <c r="J60" s="29"/>
      <c r="K60" s="29"/>
      <c r="L60" s="29"/>
      <c r="M60" s="29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8.0" customHeight="1">
      <c r="A61" s="29"/>
      <c r="B61" s="119" t="s">
        <v>15</v>
      </c>
      <c r="C61" s="128"/>
      <c r="D61" s="131"/>
      <c r="E61" s="132"/>
      <c r="F61" s="132"/>
      <c r="G61" s="104"/>
      <c r="H61" s="125"/>
      <c r="I61" s="65"/>
      <c r="J61" s="29"/>
      <c r="K61" s="29"/>
      <c r="L61" s="29"/>
      <c r="M61" s="29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8.0" customHeight="1">
      <c r="A62" s="29"/>
      <c r="B62" s="119" t="s">
        <v>15</v>
      </c>
      <c r="C62" s="128"/>
      <c r="D62" s="131"/>
      <c r="E62" s="132"/>
      <c r="F62" s="132"/>
      <c r="G62" s="104"/>
      <c r="H62" s="125"/>
      <c r="I62" s="65"/>
      <c r="J62" s="29"/>
      <c r="K62" s="29"/>
      <c r="L62" s="29"/>
      <c r="M62" s="29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8.0" customHeight="1">
      <c r="A63" s="29"/>
      <c r="B63" s="119" t="s">
        <v>15</v>
      </c>
      <c r="C63" s="128"/>
      <c r="D63" s="131"/>
      <c r="E63" s="132"/>
      <c r="F63" s="132"/>
      <c r="G63" s="104"/>
      <c r="H63" s="125"/>
      <c r="I63" s="65"/>
      <c r="J63" s="29"/>
      <c r="K63" s="29"/>
      <c r="L63" s="29"/>
      <c r="M63" s="29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8.0" customHeight="1">
      <c r="A64" s="29"/>
      <c r="B64" s="119" t="s">
        <v>15</v>
      </c>
      <c r="C64" s="128"/>
      <c r="D64" s="131"/>
      <c r="E64" s="132"/>
      <c r="F64" s="132"/>
      <c r="G64" s="104"/>
      <c r="H64" s="125"/>
      <c r="I64" s="65"/>
      <c r="J64" s="29"/>
      <c r="K64" s="29"/>
      <c r="L64" s="29"/>
      <c r="M64" s="29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8.0" customHeight="1">
      <c r="A65" s="29"/>
      <c r="B65" s="119" t="s">
        <v>15</v>
      </c>
      <c r="C65" s="128"/>
      <c r="D65" s="131"/>
      <c r="E65" s="132"/>
      <c r="F65" s="132"/>
      <c r="G65" s="104"/>
      <c r="H65" s="125"/>
      <c r="I65" s="65"/>
      <c r="J65" s="29"/>
      <c r="K65" s="29"/>
      <c r="L65" s="29"/>
      <c r="M65" s="29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8.0" customHeight="1">
      <c r="A66" s="29"/>
      <c r="B66" s="119" t="s">
        <v>15</v>
      </c>
      <c r="C66" s="128"/>
      <c r="D66" s="131"/>
      <c r="E66" s="132"/>
      <c r="F66" s="132"/>
      <c r="G66" s="104"/>
      <c r="H66" s="125"/>
      <c r="I66" s="65"/>
      <c r="J66" s="29"/>
      <c r="K66" s="29"/>
      <c r="L66" s="29"/>
      <c r="M66" s="29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8.0" customHeight="1">
      <c r="A67" s="29"/>
      <c r="B67" s="119" t="s">
        <v>15</v>
      </c>
      <c r="C67" s="128"/>
      <c r="D67" s="131"/>
      <c r="E67" s="132"/>
      <c r="F67" s="132"/>
      <c r="G67" s="104"/>
      <c r="H67" s="125"/>
      <c r="I67" s="65"/>
      <c r="J67" s="29"/>
      <c r="K67" s="29"/>
      <c r="L67" s="29"/>
      <c r="M67" s="29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8.0" customHeight="1">
      <c r="A68" s="29"/>
      <c r="B68" s="119" t="s">
        <v>15</v>
      </c>
      <c r="C68" s="128"/>
      <c r="D68" s="131"/>
      <c r="E68" s="132"/>
      <c r="F68" s="132"/>
      <c r="G68" s="104"/>
      <c r="H68" s="125"/>
      <c r="I68" s="65"/>
      <c r="J68" s="29"/>
      <c r="K68" s="29"/>
      <c r="L68" s="29"/>
      <c r="M68" s="29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8.0" customHeight="1">
      <c r="A69" s="29"/>
      <c r="B69" s="119" t="s">
        <v>15</v>
      </c>
      <c r="C69" s="128"/>
      <c r="D69" s="131"/>
      <c r="E69" s="132"/>
      <c r="F69" s="132"/>
      <c r="G69" s="104"/>
      <c r="H69" s="125"/>
      <c r="I69" s="65"/>
      <c r="J69" s="29"/>
      <c r="K69" s="29"/>
      <c r="L69" s="29"/>
      <c r="M69" s="29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8.0" customHeight="1">
      <c r="A70" s="29"/>
      <c r="B70" s="119" t="s">
        <v>15</v>
      </c>
      <c r="C70" s="128"/>
      <c r="D70" s="131"/>
      <c r="E70" s="132"/>
      <c r="F70" s="132"/>
      <c r="G70" s="104"/>
      <c r="H70" s="125"/>
      <c r="I70" s="65"/>
      <c r="J70" s="29"/>
      <c r="K70" s="29"/>
      <c r="L70" s="29"/>
      <c r="M70" s="29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8.0" customHeight="1">
      <c r="A71" s="29"/>
      <c r="B71" s="119" t="s">
        <v>15</v>
      </c>
      <c r="C71" s="128"/>
      <c r="D71" s="131"/>
      <c r="E71" s="132"/>
      <c r="F71" s="132"/>
      <c r="G71" s="104"/>
      <c r="H71" s="125"/>
      <c r="I71" s="65"/>
      <c r="J71" s="29"/>
      <c r="K71" s="29"/>
      <c r="L71" s="29"/>
      <c r="M71" s="29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8.0" customHeight="1">
      <c r="A72" s="29"/>
      <c r="B72" s="119" t="s">
        <v>15</v>
      </c>
      <c r="C72" s="128"/>
      <c r="D72" s="131"/>
      <c r="E72" s="132"/>
      <c r="F72" s="132"/>
      <c r="G72" s="104"/>
      <c r="H72" s="125"/>
      <c r="I72" s="65"/>
      <c r="J72" s="29"/>
      <c r="K72" s="29"/>
      <c r="L72" s="29"/>
      <c r="M72" s="29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8.0" customHeight="1">
      <c r="A73" s="29"/>
      <c r="B73" s="119" t="s">
        <v>15</v>
      </c>
      <c r="C73" s="128"/>
      <c r="D73" s="131"/>
      <c r="E73" s="132"/>
      <c r="F73" s="132"/>
      <c r="G73" s="104"/>
      <c r="H73" s="125"/>
      <c r="I73" s="65"/>
      <c r="J73" s="29"/>
      <c r="K73" s="29"/>
      <c r="L73" s="29"/>
      <c r="M73" s="29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8.0" customHeight="1">
      <c r="A74" s="29"/>
      <c r="B74" s="119" t="s">
        <v>15</v>
      </c>
      <c r="C74" s="128"/>
      <c r="D74" s="131"/>
      <c r="E74" s="132"/>
      <c r="F74" s="132"/>
      <c r="G74" s="104"/>
      <c r="H74" s="125"/>
      <c r="I74" s="141"/>
      <c r="J74" s="29"/>
      <c r="K74" s="29"/>
      <c r="L74" s="29"/>
      <c r="M74" s="29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8.0" customHeight="1">
      <c r="A75" s="29"/>
      <c r="B75" s="119" t="s">
        <v>15</v>
      </c>
      <c r="C75" s="128"/>
      <c r="D75" s="131"/>
      <c r="E75" s="132"/>
      <c r="F75" s="132"/>
      <c r="G75" s="104"/>
      <c r="H75" s="125"/>
      <c r="I75" s="141"/>
      <c r="J75" s="29"/>
      <c r="K75" s="29"/>
      <c r="L75" s="29"/>
      <c r="M75" s="29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8.0" customHeight="1">
      <c r="A76" s="29"/>
      <c r="B76" s="119" t="s">
        <v>15</v>
      </c>
      <c r="C76" s="128"/>
      <c r="D76" s="132"/>
      <c r="E76" s="132"/>
      <c r="F76" s="132"/>
      <c r="G76" s="104"/>
      <c r="H76" s="125"/>
      <c r="I76" s="65"/>
      <c r="J76" s="29"/>
      <c r="K76" s="29"/>
      <c r="L76" s="29"/>
      <c r="M76" s="29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8.0" customHeight="1">
      <c r="A77" s="29"/>
      <c r="B77" s="119" t="s">
        <v>15</v>
      </c>
      <c r="C77" s="128"/>
      <c r="D77" s="131"/>
      <c r="E77" s="132"/>
      <c r="F77" s="132"/>
      <c r="G77" s="104"/>
      <c r="H77" s="125"/>
      <c r="I77" s="65"/>
      <c r="J77" s="29"/>
      <c r="K77" s="29"/>
      <c r="L77" s="29"/>
      <c r="M77" s="29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8.0" customHeight="1">
      <c r="A78" s="29"/>
      <c r="B78" s="119" t="s">
        <v>15</v>
      </c>
      <c r="C78" s="128"/>
      <c r="D78" s="131"/>
      <c r="E78" s="132"/>
      <c r="F78" s="132"/>
      <c r="G78" s="104"/>
      <c r="H78" s="125"/>
      <c r="I78" s="65"/>
      <c r="J78" s="29"/>
      <c r="K78" s="29"/>
      <c r="L78" s="29"/>
      <c r="M78" s="29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8.0" customHeight="1">
      <c r="A79" s="29"/>
      <c r="B79" s="119" t="s">
        <v>15</v>
      </c>
      <c r="C79" s="128"/>
      <c r="D79" s="131"/>
      <c r="E79" s="132"/>
      <c r="F79" s="132"/>
      <c r="G79" s="104"/>
      <c r="H79" s="125"/>
      <c r="I79" s="65"/>
      <c r="J79" s="29"/>
      <c r="K79" s="29"/>
      <c r="L79" s="29"/>
      <c r="M79" s="29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8.0" customHeight="1">
      <c r="A80" s="29"/>
      <c r="B80" s="29"/>
      <c r="C80" s="66"/>
      <c r="D80" s="29"/>
      <c r="E80" s="29"/>
      <c r="F80" s="142" t="s">
        <v>51</v>
      </c>
      <c r="G80" s="95">
        <f>SUM(G28:G79)</f>
        <v>0</v>
      </c>
      <c r="H80" s="29"/>
      <c r="I80" s="29"/>
      <c r="J80" s="29"/>
      <c r="K80" s="29"/>
      <c r="L80" s="29"/>
      <c r="M80" s="29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8.0" customHeight="1">
      <c r="A81" s="29"/>
      <c r="B81" s="29"/>
      <c r="C81" s="66"/>
      <c r="D81" s="29"/>
      <c r="E81" s="108" t="s">
        <v>52</v>
      </c>
      <c r="F81" s="109" t="s">
        <v>53</v>
      </c>
      <c r="G81" s="143">
        <f>SUMIF(H28:H79,"העובד",G28:G79)</f>
        <v>0</v>
      </c>
      <c r="H81" s="29"/>
      <c r="I81" s="29"/>
      <c r="J81" s="29"/>
      <c r="K81" s="29"/>
      <c r="L81" s="29"/>
      <c r="M81" s="29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8.0" customHeight="1">
      <c r="A82" s="29"/>
      <c r="B82" s="29"/>
      <c r="C82" s="66"/>
      <c r="D82" s="29"/>
      <c r="E82" s="108" t="s">
        <v>54</v>
      </c>
      <c r="F82" s="109" t="s">
        <v>50</v>
      </c>
      <c r="G82" s="143">
        <f>SUMIF(H28:H79,"כ. אשראי חברה",G28:G79)</f>
        <v>0</v>
      </c>
      <c r="H82" s="29"/>
      <c r="I82" s="29"/>
      <c r="J82" s="29"/>
      <c r="K82" s="29"/>
      <c r="L82" s="29"/>
      <c r="M82" s="29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8.0" customHeight="1">
      <c r="A83" s="29"/>
      <c r="B83" s="29"/>
      <c r="C83" s="85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9.5" customHeight="1">
      <c r="A84" s="29"/>
      <c r="B84" s="29"/>
      <c r="C84" s="144" t="s">
        <v>16</v>
      </c>
      <c r="D84" s="114"/>
      <c r="E84" s="114"/>
      <c r="F84" s="114"/>
      <c r="G84" s="114"/>
      <c r="H84" s="114"/>
      <c r="I84" s="115"/>
      <c r="J84" s="29"/>
      <c r="K84" s="29"/>
      <c r="L84" s="29"/>
      <c r="M84" s="29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9.5" customHeight="1">
      <c r="A85" s="29"/>
      <c r="B85" s="90"/>
      <c r="C85" s="145" t="s">
        <v>43</v>
      </c>
      <c r="D85" s="117" t="s">
        <v>44</v>
      </c>
      <c r="E85" s="117" t="s">
        <v>45</v>
      </c>
      <c r="F85" s="117" t="s">
        <v>46</v>
      </c>
      <c r="G85" s="117" t="s">
        <v>47</v>
      </c>
      <c r="H85" s="117" t="s">
        <v>48</v>
      </c>
      <c r="I85" s="118" t="s">
        <v>49</v>
      </c>
      <c r="J85" s="29"/>
      <c r="K85" s="29"/>
      <c r="L85" s="29"/>
      <c r="M85" s="29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9.5" customHeight="1">
      <c r="A86" s="29"/>
      <c r="B86" s="146" t="s">
        <v>16</v>
      </c>
      <c r="C86" s="147"/>
      <c r="D86" s="148"/>
      <c r="E86" s="93"/>
      <c r="F86" s="149"/>
      <c r="G86" s="95" t="str">
        <f>IF(E86="","",IF(F86="","",(VLOOKUP(E86,RATELI,2,0)*F86)))</f>
        <v/>
      </c>
      <c r="H86" s="92" t="s">
        <v>50</v>
      </c>
      <c r="I86" s="150"/>
      <c r="J86" s="29"/>
      <c r="K86" s="29"/>
      <c r="L86" s="29"/>
      <c r="M86" s="29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9.5" customHeight="1">
      <c r="A87" s="29"/>
      <c r="B87" s="146" t="s">
        <v>16</v>
      </c>
      <c r="C87" s="151"/>
      <c r="D87" s="152"/>
      <c r="E87" s="50"/>
      <c r="F87" s="50"/>
      <c r="G87" s="99" t="str">
        <f>IF(E87="","",IF(F87="","",(VLOOKUP(E87,RATELI,2,0)*F87)))</f>
        <v/>
      </c>
      <c r="H87" s="50"/>
      <c r="I87" s="153"/>
      <c r="J87" s="29"/>
      <c r="K87" s="29"/>
      <c r="L87" s="29"/>
      <c r="M87" s="29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9.5" customHeight="1">
      <c r="A88" s="29"/>
      <c r="B88" s="146" t="s">
        <v>16</v>
      </c>
      <c r="C88" s="154"/>
      <c r="D88" s="50" t="s">
        <v>56</v>
      </c>
      <c r="E88" s="50"/>
      <c r="F88" s="50"/>
      <c r="G88" s="99" t="str">
        <f>IF(E88="","",IF(F88="","",(VLOOKUP(E88,RATELI,2,0)*F88)))</f>
        <v/>
      </c>
      <c r="H88" s="50"/>
      <c r="I88" s="51"/>
      <c r="J88" s="29"/>
      <c r="K88" s="29"/>
      <c r="L88" s="29"/>
      <c r="M88" s="29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9.5" customHeight="1">
      <c r="A89" s="29"/>
      <c r="B89" s="146" t="s">
        <v>16</v>
      </c>
      <c r="C89" s="101"/>
      <c r="D89" s="64"/>
      <c r="E89" s="64"/>
      <c r="F89" s="64"/>
      <c r="G89" s="104" t="str">
        <f>IF(E89="","",IF(F89="","",(VLOOKUP(E89,RATELI,2,0)*F89)))</f>
        <v/>
      </c>
      <c r="H89" s="64"/>
      <c r="I89" s="65"/>
      <c r="J89" s="29"/>
      <c r="K89" s="29"/>
      <c r="L89" s="29"/>
      <c r="M89" s="29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9.5" customHeight="1">
      <c r="A90" s="29"/>
      <c r="B90" s="90"/>
      <c r="C90" s="66"/>
      <c r="D90" s="29"/>
      <c r="E90" s="29"/>
      <c r="F90" s="106" t="s">
        <v>51</v>
      </c>
      <c r="G90" s="107">
        <f>SUM(G86:G89)</f>
        <v>0</v>
      </c>
      <c r="H90" s="29"/>
      <c r="I90" s="29"/>
      <c r="J90" s="29"/>
      <c r="K90" s="29"/>
      <c r="L90" s="29"/>
      <c r="M90" s="29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9.5" customHeight="1">
      <c r="A91" s="29"/>
      <c r="B91" s="90"/>
      <c r="C91" s="66"/>
      <c r="D91" s="29"/>
      <c r="E91" s="108" t="s">
        <v>52</v>
      </c>
      <c r="F91" s="109" t="s">
        <v>53</v>
      </c>
      <c r="G91" s="110">
        <f>SUMIF(H86:H89,"העובד",G86:G89)</f>
        <v>0</v>
      </c>
      <c r="H91" s="29"/>
      <c r="I91" s="29"/>
      <c r="J91" s="29"/>
      <c r="K91" s="29"/>
      <c r="L91" s="29"/>
      <c r="M91" s="29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9.5" customHeight="1">
      <c r="A92" s="29"/>
      <c r="B92" s="90"/>
      <c r="C92" s="66"/>
      <c r="D92" s="29"/>
      <c r="E92" s="108" t="s">
        <v>54</v>
      </c>
      <c r="F92" s="109" t="s">
        <v>50</v>
      </c>
      <c r="G92" s="110">
        <f>SUMIF(H86:H89,"כ. אשראי חברה",G86:G89)</f>
        <v>0</v>
      </c>
      <c r="H92" s="29"/>
      <c r="I92" s="29"/>
      <c r="J92" s="29"/>
      <c r="K92" s="29"/>
      <c r="L92" s="29"/>
      <c r="M92" s="29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9.5" customHeight="1">
      <c r="A93" s="29"/>
      <c r="B93" s="90"/>
      <c r="C93" s="66"/>
      <c r="D93" s="29"/>
      <c r="E93" s="29"/>
      <c r="F93" s="29"/>
      <c r="G93" s="143"/>
      <c r="H93" s="29"/>
      <c r="I93" s="29"/>
      <c r="J93" s="29"/>
      <c r="K93" s="29"/>
      <c r="L93" s="29"/>
      <c r="M93" s="29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9.5" customHeight="1">
      <c r="A94" s="29"/>
      <c r="B94" s="90"/>
      <c r="C94" s="86" t="s">
        <v>17</v>
      </c>
      <c r="D94" s="87"/>
      <c r="E94" s="87"/>
      <c r="F94" s="87"/>
      <c r="G94" s="87"/>
      <c r="H94" s="87"/>
      <c r="I94" s="88"/>
      <c r="J94" s="29"/>
      <c r="K94" s="29"/>
      <c r="L94" s="29"/>
      <c r="M94" s="29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9.5" customHeight="1">
      <c r="A95" s="29"/>
      <c r="B95" s="90"/>
      <c r="C95" s="155" t="s">
        <v>43</v>
      </c>
      <c r="D95" s="70" t="s">
        <v>55</v>
      </c>
      <c r="E95" s="70" t="s">
        <v>45</v>
      </c>
      <c r="F95" s="70" t="s">
        <v>46</v>
      </c>
      <c r="G95" s="70" t="s">
        <v>47</v>
      </c>
      <c r="H95" s="70" t="s">
        <v>48</v>
      </c>
      <c r="I95" s="89" t="s">
        <v>49</v>
      </c>
      <c r="J95" s="29"/>
      <c r="K95" s="29"/>
      <c r="L95" s="29"/>
      <c r="M95" s="29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9.5" customHeight="1">
      <c r="A96" s="29"/>
      <c r="B96" s="146" t="s">
        <v>17</v>
      </c>
      <c r="C96" s="91" t="str">
        <f>IFERROR(__xludf.DUMMYFUNCTION("QUERY(
  RAW!$A$7:$E$1054,
  ""select Col1, Col5, Col4, Col3 where Col2 contains '"" &amp; C94 &amp; ""'"",
  0
)
"),"#N/A")</f>
        <v>#N/A</v>
      </c>
      <c r="D96" s="93"/>
      <c r="E96" s="93"/>
      <c r="F96" s="93"/>
      <c r="G96" s="95" t="str">
        <f>IF(E96="","",IF(F96="","",(VLOOKUP(E96,RATELI,2,0)*F96)))</f>
        <v/>
      </c>
      <c r="H96" s="92" t="s">
        <v>53</v>
      </c>
      <c r="I96" s="97"/>
      <c r="J96" s="29"/>
      <c r="K96" s="29"/>
      <c r="L96" s="29"/>
      <c r="M96" s="29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9.5" customHeight="1">
      <c r="A97" s="29"/>
      <c r="B97" s="146" t="s">
        <v>17</v>
      </c>
      <c r="C97" s="101"/>
      <c r="D97" s="64"/>
      <c r="E97" s="64"/>
      <c r="F97" s="64"/>
      <c r="G97" s="104" t="str">
        <f>IF(E97="","",IF(F97="","",(VLOOKUP(E97,RATELI,2,0)*F97)))</f>
        <v/>
      </c>
      <c r="H97" s="156" t="s">
        <v>53</v>
      </c>
      <c r="I97" s="65"/>
      <c r="J97" s="29"/>
      <c r="K97" s="29"/>
      <c r="L97" s="29"/>
      <c r="M97" s="29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9.5" customHeight="1">
      <c r="A98" s="29"/>
      <c r="B98" s="90"/>
      <c r="C98" s="66"/>
      <c r="D98" s="29"/>
      <c r="E98" s="29"/>
      <c r="F98" s="142" t="s">
        <v>51</v>
      </c>
      <c r="G98" s="95">
        <f>SUM(G96:G97)</f>
        <v>0</v>
      </c>
      <c r="H98" s="29"/>
      <c r="I98" s="29"/>
      <c r="J98" s="29"/>
      <c r="K98" s="29"/>
      <c r="L98" s="29"/>
      <c r="M98" s="29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9.5" customHeight="1">
      <c r="A99" s="29"/>
      <c r="B99" s="90"/>
      <c r="C99" s="66"/>
      <c r="D99" s="29"/>
      <c r="E99" s="108" t="s">
        <v>52</v>
      </c>
      <c r="F99" s="109" t="s">
        <v>53</v>
      </c>
      <c r="G99" s="143">
        <f>SUMIF(H96:H97,"העובד",G96:G97)</f>
        <v>0</v>
      </c>
      <c r="H99" s="29"/>
      <c r="I99" s="29"/>
      <c r="J99" s="29"/>
      <c r="K99" s="29"/>
      <c r="L99" s="29"/>
      <c r="M99" s="29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9.5" customHeight="1">
      <c r="A100" s="29"/>
      <c r="B100" s="90"/>
      <c r="C100" s="66"/>
      <c r="D100" s="29"/>
      <c r="E100" s="108" t="s">
        <v>54</v>
      </c>
      <c r="F100" s="109" t="s">
        <v>50</v>
      </c>
      <c r="G100" s="143">
        <f>SUMIF(H96:H97,"כ. אשראי חברה",G96:G97)</f>
        <v>0</v>
      </c>
      <c r="H100" s="29"/>
      <c r="I100" s="29"/>
      <c r="J100" s="29"/>
      <c r="K100" s="29"/>
      <c r="L100" s="29"/>
      <c r="M100" s="29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9.5" customHeight="1">
      <c r="A101" s="29"/>
      <c r="B101" s="90"/>
      <c r="C101" s="66"/>
      <c r="D101" s="29"/>
      <c r="E101" s="111"/>
      <c r="F101" s="112"/>
      <c r="G101" s="143"/>
      <c r="H101" s="29"/>
      <c r="I101" s="29"/>
      <c r="J101" s="29"/>
      <c r="K101" s="29"/>
      <c r="L101" s="29"/>
      <c r="M101" s="29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9.5" customHeight="1">
      <c r="A102" s="29"/>
      <c r="B102" s="90"/>
      <c r="C102" s="144" t="s">
        <v>18</v>
      </c>
      <c r="D102" s="114"/>
      <c r="E102" s="114"/>
      <c r="F102" s="114"/>
      <c r="G102" s="114"/>
      <c r="H102" s="114"/>
      <c r="I102" s="115"/>
      <c r="J102" s="29"/>
      <c r="K102" s="29"/>
      <c r="L102" s="29"/>
      <c r="M102" s="29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9.5" customHeight="1">
      <c r="A103" s="29"/>
      <c r="B103" s="90"/>
      <c r="C103" s="68" t="s">
        <v>43</v>
      </c>
      <c r="D103" s="70"/>
      <c r="E103" s="70" t="s">
        <v>45</v>
      </c>
      <c r="F103" s="70" t="s">
        <v>46</v>
      </c>
      <c r="G103" s="70" t="s">
        <v>57</v>
      </c>
      <c r="H103" s="70" t="s">
        <v>48</v>
      </c>
      <c r="I103" s="89" t="s">
        <v>49</v>
      </c>
      <c r="J103" s="29"/>
      <c r="K103" s="29"/>
      <c r="L103" s="29"/>
      <c r="M103" s="29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8.0" customHeight="1">
      <c r="A104" s="29"/>
      <c r="B104" s="144" t="s">
        <v>18</v>
      </c>
      <c r="C104" s="91" t="str">
        <f>IFERROR(__xludf.DUMMYFUNCTION("QUERY(
  RAW!$A$7:$E$1054,
  ""select Col1, Col5, Col4, Col3 where Col2 contains '"" &amp; C102 &amp; ""'"",
  0
)
"),"#N/A")</f>
        <v>#N/A</v>
      </c>
      <c r="D104" s="93"/>
      <c r="E104" s="93"/>
      <c r="F104" s="93"/>
      <c r="G104" s="95" t="str">
        <f>IF(E104="","",IF(F104="","",(VLOOKUP(E104,RATELI,2,0)*F104)))</f>
        <v/>
      </c>
      <c r="H104" s="92" t="s">
        <v>53</v>
      </c>
      <c r="I104" s="97"/>
      <c r="J104" s="29"/>
      <c r="K104" s="29"/>
      <c r="L104" s="29"/>
      <c r="M104" s="29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8.0" customHeight="1">
      <c r="A105" s="29"/>
      <c r="B105" s="144" t="s">
        <v>18</v>
      </c>
      <c r="C105" s="154"/>
      <c r="D105" s="50"/>
      <c r="E105" s="50"/>
      <c r="F105" s="50"/>
      <c r="G105" s="99" t="str">
        <f>IF(E105="","",IF(F105="","",(VLOOKUP(E105,RATELI,2,0)*F105)))</f>
        <v/>
      </c>
      <c r="H105" s="50"/>
      <c r="I105" s="51"/>
      <c r="J105" s="29"/>
      <c r="K105" s="29"/>
      <c r="L105" s="29"/>
      <c r="M105" s="29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8.0" customHeight="1">
      <c r="A106" s="29"/>
      <c r="B106" s="144" t="s">
        <v>18</v>
      </c>
      <c r="C106" s="154"/>
      <c r="D106" s="50"/>
      <c r="E106" s="50"/>
      <c r="F106" s="50"/>
      <c r="G106" s="99" t="str">
        <f>IF(E106="","",IF(F106="","",(VLOOKUP(E106,RATELI,2,0)*F106)))</f>
        <v/>
      </c>
      <c r="H106" s="50"/>
      <c r="I106" s="51"/>
      <c r="J106" s="29"/>
      <c r="K106" s="29"/>
      <c r="L106" s="29"/>
      <c r="M106" s="29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8.0" customHeight="1">
      <c r="A107" s="29"/>
      <c r="B107" s="144" t="s">
        <v>18</v>
      </c>
      <c r="C107" s="154"/>
      <c r="D107" s="50"/>
      <c r="E107" s="50"/>
      <c r="F107" s="50"/>
      <c r="G107" s="99" t="str">
        <f>IF(E107="","",IF(F107="","",(VLOOKUP(E107,RATELI,2,0)*F107)))</f>
        <v/>
      </c>
      <c r="H107" s="50"/>
      <c r="I107" s="51"/>
      <c r="J107" s="29"/>
      <c r="K107" s="29"/>
      <c r="L107" s="29"/>
      <c r="M107" s="29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8.0" customHeight="1">
      <c r="A108" s="29"/>
      <c r="B108" s="144" t="s">
        <v>18</v>
      </c>
      <c r="C108" s="154"/>
      <c r="D108" s="50"/>
      <c r="E108" s="50"/>
      <c r="F108" s="50"/>
      <c r="G108" s="99" t="str">
        <f>IF(E108="","",IF(F108="","",(VLOOKUP(E108,RATELI,2,0)*F108)))</f>
        <v/>
      </c>
      <c r="H108" s="50"/>
      <c r="I108" s="51"/>
      <c r="J108" s="29"/>
      <c r="K108" s="29"/>
      <c r="L108" s="29"/>
      <c r="M108" s="29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8.0" customHeight="1">
      <c r="A109" s="29"/>
      <c r="B109" s="144" t="s">
        <v>18</v>
      </c>
      <c r="C109" s="101"/>
      <c r="D109" s="64"/>
      <c r="E109" s="64"/>
      <c r="F109" s="64"/>
      <c r="G109" s="104" t="str">
        <f>IF(E109="","",IF(F109="","",(VLOOKUP(E109,RATELI,2,0)*F109)))</f>
        <v/>
      </c>
      <c r="H109" s="64"/>
      <c r="I109" s="157"/>
      <c r="J109" s="29"/>
      <c r="K109" s="29"/>
      <c r="L109" s="29"/>
      <c r="M109" s="29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8.0" customHeight="1">
      <c r="A110" s="29"/>
      <c r="B110" s="90"/>
      <c r="C110" s="158"/>
      <c r="D110" s="36"/>
      <c r="E110" s="36"/>
      <c r="F110" s="142" t="s">
        <v>51</v>
      </c>
      <c r="G110" s="107">
        <f>SUM(G104:G109)</f>
        <v>0</v>
      </c>
      <c r="H110" s="29"/>
      <c r="I110" s="29"/>
      <c r="J110" s="29"/>
      <c r="K110" s="29"/>
      <c r="L110" s="29"/>
      <c r="M110" s="29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8.0" customHeight="1">
      <c r="A111" s="29"/>
      <c r="B111" s="90"/>
      <c r="C111" s="158"/>
      <c r="D111" s="36"/>
      <c r="E111" s="108" t="s">
        <v>52</v>
      </c>
      <c r="F111" s="109" t="s">
        <v>53</v>
      </c>
      <c r="G111" s="143">
        <f>SUMIF(H104:H109,"העובד",G104:G109)</f>
        <v>0</v>
      </c>
      <c r="H111" s="36"/>
      <c r="I111" s="29"/>
      <c r="J111" s="29"/>
      <c r="K111" s="29"/>
      <c r="L111" s="29"/>
      <c r="M111" s="29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8.0" customHeight="1">
      <c r="A112" s="29"/>
      <c r="B112" s="90"/>
      <c r="C112" s="66"/>
      <c r="D112" s="29"/>
      <c r="E112" s="108" t="s">
        <v>54</v>
      </c>
      <c r="F112" s="109" t="s">
        <v>50</v>
      </c>
      <c r="G112" s="143">
        <f>SUMIF(H107:H109,"כ. אשראי חברה",G107:G109)</f>
        <v>0</v>
      </c>
      <c r="H112" s="29"/>
      <c r="I112" s="29"/>
      <c r="J112" s="29"/>
      <c r="K112" s="29"/>
      <c r="L112" s="29"/>
      <c r="M112" s="29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8.0" customHeight="1">
      <c r="A113" s="29"/>
      <c r="B113" s="90"/>
      <c r="C113" s="66"/>
      <c r="D113" s="29"/>
      <c r="E113" s="29"/>
      <c r="F113" s="29"/>
      <c r="G113" s="143"/>
      <c r="H113" s="29"/>
      <c r="I113" s="29"/>
      <c r="J113" s="29"/>
      <c r="K113" s="29"/>
      <c r="L113" s="29"/>
      <c r="M113" s="29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8.0" customHeight="1">
      <c r="A114" s="29"/>
      <c r="B114" s="90"/>
      <c r="C114" s="86" t="s">
        <v>19</v>
      </c>
      <c r="D114" s="87"/>
      <c r="E114" s="87"/>
      <c r="F114" s="87"/>
      <c r="G114" s="87"/>
      <c r="H114" s="87"/>
      <c r="I114" s="88"/>
      <c r="J114" s="29"/>
      <c r="K114" s="29"/>
      <c r="L114" s="29"/>
      <c r="M114" s="29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8.0" customHeight="1">
      <c r="A115" s="29"/>
      <c r="B115" s="90"/>
      <c r="C115" s="68" t="s">
        <v>43</v>
      </c>
      <c r="D115" s="70"/>
      <c r="E115" s="70" t="s">
        <v>45</v>
      </c>
      <c r="F115" s="70" t="s">
        <v>46</v>
      </c>
      <c r="G115" s="70" t="s">
        <v>57</v>
      </c>
      <c r="H115" s="70" t="s">
        <v>48</v>
      </c>
      <c r="I115" s="89" t="s">
        <v>49</v>
      </c>
      <c r="J115" s="29"/>
      <c r="K115" s="29"/>
      <c r="L115" s="29"/>
      <c r="M115" s="29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8.0" customHeight="1">
      <c r="A116" s="29"/>
      <c r="B116" s="86" t="s">
        <v>19</v>
      </c>
      <c r="C116" s="159" t="str">
        <f>IFERROR(__xludf.DUMMYFUNCTION("QUERY(
  RAW!$A$7:$E$1054,
  ""select Col1, Col5, Col4, Col3 where Col2 contains '"" &amp; C114 &amp; ""'"",
  0
)
"),"#N/A")</f>
        <v>#N/A</v>
      </c>
      <c r="D116" s="120"/>
      <c r="E116" s="121"/>
      <c r="F116" s="121"/>
      <c r="G116" s="160" t="str">
        <f>IF(E116="","",IF(F116="","",(VLOOKUP(E116,RATELI,2,0)*F116)))</f>
        <v/>
      </c>
      <c r="H116" s="123" t="s">
        <v>53</v>
      </c>
      <c r="I116" s="47"/>
      <c r="J116" s="29"/>
      <c r="K116" s="29"/>
      <c r="L116" s="29"/>
      <c r="M116" s="29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8.0" customHeight="1">
      <c r="A117" s="29"/>
      <c r="B117" s="86" t="s">
        <v>19</v>
      </c>
      <c r="C117" s="154"/>
      <c r="D117" s="50"/>
      <c r="E117" s="50"/>
      <c r="F117" s="50"/>
      <c r="G117" s="99" t="str">
        <f>IF(E117="","",IF(F117="","",(VLOOKUP(E117,RATELI,2,0)*F117)))</f>
        <v/>
      </c>
      <c r="H117" s="161"/>
      <c r="I117" s="51"/>
      <c r="J117" s="29"/>
      <c r="K117" s="29"/>
      <c r="L117" s="29"/>
      <c r="M117" s="29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8.0" customHeight="1">
      <c r="A118" s="29"/>
      <c r="B118" s="86" t="s">
        <v>19</v>
      </c>
      <c r="C118" s="101"/>
      <c r="D118" s="64"/>
      <c r="E118" s="64"/>
      <c r="F118" s="64"/>
      <c r="G118" s="104" t="str">
        <f>IF(E118="","",IF(F118="","",(VLOOKUP(E118,RATELI,2,0)*F118)))</f>
        <v/>
      </c>
      <c r="H118" s="162"/>
      <c r="I118" s="157"/>
      <c r="J118" s="29"/>
      <c r="K118" s="29"/>
      <c r="L118" s="29"/>
      <c r="M118" s="29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8.0" customHeight="1">
      <c r="A119" s="29"/>
      <c r="B119" s="29"/>
      <c r="C119" s="158"/>
      <c r="D119" s="36"/>
      <c r="E119" s="36"/>
      <c r="F119" s="142" t="s">
        <v>51</v>
      </c>
      <c r="G119" s="107">
        <f>SUM(G116:G118)</f>
        <v>0</v>
      </c>
      <c r="H119" s="29"/>
      <c r="I119" s="29"/>
      <c r="J119" s="29"/>
      <c r="K119" s="29"/>
      <c r="L119" s="29"/>
      <c r="M119" s="29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8.0" customHeight="1">
      <c r="A120" s="29"/>
      <c r="B120" s="29"/>
      <c r="C120" s="158"/>
      <c r="D120" s="36"/>
      <c r="E120" s="108" t="s">
        <v>52</v>
      </c>
      <c r="F120" s="109" t="s">
        <v>53</v>
      </c>
      <c r="G120" s="143">
        <f>SUMIF(H116:H118,"העובד ",G116:G118)</f>
        <v>0</v>
      </c>
      <c r="H120" s="36"/>
      <c r="I120" s="29"/>
      <c r="J120" s="29"/>
      <c r="K120" s="29"/>
      <c r="L120" s="29"/>
      <c r="M120" s="29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8.0" customHeight="1">
      <c r="A121" s="29"/>
      <c r="B121" s="29"/>
      <c r="C121" s="66"/>
      <c r="D121" s="29"/>
      <c r="E121" s="108" t="s">
        <v>54</v>
      </c>
      <c r="F121" s="109" t="s">
        <v>50</v>
      </c>
      <c r="G121" s="143">
        <f>SUMIF(H116:H118,"כ. אשראי חברה",G116:G118)</f>
        <v>0</v>
      </c>
      <c r="H121" s="29"/>
      <c r="I121" s="29"/>
      <c r="J121" s="29"/>
      <c r="K121" s="29"/>
      <c r="L121" s="29"/>
      <c r="M121" s="29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8.0" customHeight="1">
      <c r="A122" s="29"/>
      <c r="B122" s="29"/>
      <c r="C122" s="66"/>
      <c r="D122" s="29"/>
      <c r="E122" s="29"/>
      <c r="F122" s="29"/>
      <c r="G122" s="143"/>
      <c r="H122" s="29"/>
      <c r="I122" s="29"/>
      <c r="J122" s="29"/>
      <c r="K122" s="29"/>
      <c r="L122" s="29"/>
      <c r="M122" s="29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8.0" customHeight="1">
      <c r="A123" s="29" t="s">
        <v>58</v>
      </c>
      <c r="B123" s="29"/>
      <c r="C123" s="86" t="s">
        <v>20</v>
      </c>
      <c r="D123" s="87"/>
      <c r="E123" s="87"/>
      <c r="F123" s="87"/>
      <c r="G123" s="87"/>
      <c r="H123" s="87"/>
      <c r="I123" s="88"/>
      <c r="J123" s="29"/>
      <c r="K123" s="29"/>
      <c r="L123" s="29"/>
      <c r="M123" s="29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8.0" customHeight="1">
      <c r="A124" s="29"/>
      <c r="B124" s="29"/>
      <c r="C124" s="68" t="s">
        <v>43</v>
      </c>
      <c r="D124" s="70" t="s">
        <v>59</v>
      </c>
      <c r="E124" s="70" t="s">
        <v>45</v>
      </c>
      <c r="F124" s="70" t="s">
        <v>46</v>
      </c>
      <c r="G124" s="70" t="s">
        <v>47</v>
      </c>
      <c r="H124" s="70" t="s">
        <v>48</v>
      </c>
      <c r="I124" s="89" t="s">
        <v>49</v>
      </c>
      <c r="J124" s="29"/>
      <c r="K124" s="29"/>
      <c r="L124" s="29"/>
      <c r="M124" s="29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9.5" customHeight="1">
      <c r="A125" s="29"/>
      <c r="B125" s="29"/>
      <c r="C125" s="159" t="str">
        <f>IFERROR(__xludf.DUMMYFUNCTION("QUERY(
  RAW!$A$7:$E$1054,
  ""select Col1, Col5, Col4, Col3 where Col2 contains '"" &amp; C123 &amp; ""'"",
  0
)
"),"#N/A")</f>
        <v>#N/A</v>
      </c>
      <c r="D125" s="46"/>
      <c r="E125" s="46"/>
      <c r="F125" s="46"/>
      <c r="G125" s="160" t="str">
        <f>IF(E125="","",IF(F125="","",(VLOOKUP(E125,RATELI,2,0)*F125)))</f>
        <v/>
      </c>
      <c r="H125" s="123" t="s">
        <v>53</v>
      </c>
      <c r="I125" s="47"/>
      <c r="J125" s="29"/>
      <c r="K125" s="29"/>
      <c r="L125" s="29"/>
      <c r="M125" s="29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9.5" customHeight="1">
      <c r="A126" s="29"/>
      <c r="B126" s="146" t="s">
        <v>20</v>
      </c>
      <c r="C126" s="154"/>
      <c r="D126" s="50"/>
      <c r="E126" s="50"/>
      <c r="F126" s="50"/>
      <c r="G126" s="99" t="str">
        <f>IF(E126="","",IF(F126="","",(VLOOKUP(E126,RATELI,2,0)*F126)))</f>
        <v/>
      </c>
      <c r="H126" s="127" t="s">
        <v>53</v>
      </c>
      <c r="I126" s="51"/>
      <c r="J126" s="29"/>
      <c r="K126" s="29"/>
      <c r="L126" s="29"/>
      <c r="M126" s="29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9.5" customHeight="1">
      <c r="A127" s="29"/>
      <c r="B127" s="146" t="s">
        <v>20</v>
      </c>
      <c r="C127" s="154"/>
      <c r="D127" s="50"/>
      <c r="E127" s="50"/>
      <c r="F127" s="50"/>
      <c r="G127" s="99" t="str">
        <f>IF(E127="","",IF(F127="","",(VLOOKUP(E127,RATELI,2,0)*F127)))</f>
        <v/>
      </c>
      <c r="H127" s="127" t="s">
        <v>53</v>
      </c>
      <c r="I127" s="51"/>
      <c r="J127" s="29"/>
      <c r="K127" s="29"/>
      <c r="L127" s="29"/>
      <c r="M127" s="29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9.5" customHeight="1">
      <c r="A128" s="29"/>
      <c r="B128" s="146" t="s">
        <v>20</v>
      </c>
      <c r="C128" s="154"/>
      <c r="D128" s="50"/>
      <c r="E128" s="50"/>
      <c r="F128" s="50"/>
      <c r="G128" s="99" t="str">
        <f>IF(E128="","",IF(F128="","",(VLOOKUP(E128,RATELI,2,0)*F128)))</f>
        <v/>
      </c>
      <c r="H128" s="127" t="s">
        <v>53</v>
      </c>
      <c r="I128" s="51"/>
      <c r="J128" s="29"/>
      <c r="K128" s="29"/>
      <c r="L128" s="29"/>
      <c r="M128" s="29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9.5" customHeight="1">
      <c r="A129" s="29"/>
      <c r="B129" s="146" t="s">
        <v>20</v>
      </c>
      <c r="C129" s="154"/>
      <c r="D129" s="50"/>
      <c r="E129" s="50"/>
      <c r="F129" s="50"/>
      <c r="G129" s="99" t="str">
        <f>IF(E129="","",IF(F129="","",(VLOOKUP(E129,RATELI,2,0)*F129)))</f>
        <v/>
      </c>
      <c r="H129" s="127" t="s">
        <v>53</v>
      </c>
      <c r="I129" s="51"/>
      <c r="J129" s="29"/>
      <c r="K129" s="29"/>
      <c r="L129" s="29"/>
      <c r="M129" s="29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9.5" customHeight="1">
      <c r="A130" s="29"/>
      <c r="B130" s="146" t="s">
        <v>20</v>
      </c>
      <c r="C130" s="154"/>
      <c r="D130" s="50"/>
      <c r="E130" s="50"/>
      <c r="F130" s="50"/>
      <c r="G130" s="99" t="str">
        <f>IF(E130="","",IF(F130="","",(VLOOKUP(E130,RATELI,2,0)*F130)))</f>
        <v/>
      </c>
      <c r="H130" s="127" t="s">
        <v>53</v>
      </c>
      <c r="I130" s="51"/>
      <c r="J130" s="29"/>
      <c r="K130" s="29"/>
      <c r="L130" s="29"/>
      <c r="M130" s="29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9.5" customHeight="1">
      <c r="A131" s="29"/>
      <c r="B131" s="146" t="s">
        <v>20</v>
      </c>
      <c r="C131" s="154"/>
      <c r="D131" s="50"/>
      <c r="E131" s="50"/>
      <c r="F131" s="50"/>
      <c r="G131" s="99" t="str">
        <f>IF(E131="","",IF(F131="","",(VLOOKUP(E131,RATELI,2,0)*F131)))</f>
        <v/>
      </c>
      <c r="H131" s="127" t="s">
        <v>53</v>
      </c>
      <c r="I131" s="51"/>
      <c r="J131" s="29"/>
      <c r="K131" s="29"/>
      <c r="L131" s="29"/>
      <c r="M131" s="29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9.5" customHeight="1">
      <c r="A132" s="29"/>
      <c r="B132" s="146" t="s">
        <v>20</v>
      </c>
      <c r="C132" s="154"/>
      <c r="D132" s="50"/>
      <c r="E132" s="50"/>
      <c r="F132" s="50"/>
      <c r="G132" s="99" t="str">
        <f>IF(E132="","",IF(F132="","",(VLOOKUP(E132,RATELI,2,0)*F132)))</f>
        <v/>
      </c>
      <c r="H132" s="127" t="s">
        <v>53</v>
      </c>
      <c r="I132" s="51"/>
      <c r="J132" s="29"/>
      <c r="K132" s="29"/>
      <c r="L132" s="29"/>
      <c r="M132" s="29" t="s">
        <v>56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9.5" customHeight="1">
      <c r="A133" s="29"/>
      <c r="B133" s="146" t="s">
        <v>20</v>
      </c>
      <c r="C133" s="154"/>
      <c r="D133" s="50"/>
      <c r="E133" s="50"/>
      <c r="F133" s="50"/>
      <c r="G133" s="99" t="str">
        <f>IF(E133="","",IF(F133="","",(VLOOKUP(E133,RATELI,2,0)*F133)))</f>
        <v/>
      </c>
      <c r="H133" s="127" t="s">
        <v>53</v>
      </c>
      <c r="I133" s="51"/>
      <c r="J133" s="29"/>
      <c r="K133" s="29"/>
      <c r="L133" s="29"/>
      <c r="M133" s="29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9.5" customHeight="1">
      <c r="A134" s="29"/>
      <c r="B134" s="146" t="s">
        <v>20</v>
      </c>
      <c r="C134" s="154"/>
      <c r="D134" s="50"/>
      <c r="E134" s="50"/>
      <c r="F134" s="50"/>
      <c r="G134" s="99" t="str">
        <f>IF(E134="","",IF(F134="","",(VLOOKUP(E134,RATELI,2,0)*F134)))</f>
        <v/>
      </c>
      <c r="H134" s="127" t="s">
        <v>53</v>
      </c>
      <c r="I134" s="51"/>
      <c r="J134" s="29"/>
      <c r="K134" s="29"/>
      <c r="L134" s="29"/>
      <c r="M134" s="29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9.5" customHeight="1">
      <c r="A135" s="29"/>
      <c r="B135" s="146" t="s">
        <v>20</v>
      </c>
      <c r="C135" s="154"/>
      <c r="D135" s="50"/>
      <c r="E135" s="50"/>
      <c r="F135" s="50"/>
      <c r="G135" s="99" t="str">
        <f>IF(E135="","",IF(F135="","",(VLOOKUP(E135,RATELI,2,0)*F135)))</f>
        <v/>
      </c>
      <c r="H135" s="127" t="s">
        <v>53</v>
      </c>
      <c r="I135" s="51"/>
      <c r="J135" s="29"/>
      <c r="K135" s="29"/>
      <c r="L135" s="29"/>
      <c r="M135" s="29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9.5" customHeight="1">
      <c r="A136" s="29"/>
      <c r="B136" s="146" t="s">
        <v>20</v>
      </c>
      <c r="C136" s="154"/>
      <c r="D136" s="50"/>
      <c r="E136" s="50"/>
      <c r="F136" s="50"/>
      <c r="G136" s="99" t="str">
        <f>IF(E136="","",IF(F136="","",(VLOOKUP(E136,RATELI,2,0)*F136)))</f>
        <v/>
      </c>
      <c r="H136" s="127" t="s">
        <v>53</v>
      </c>
      <c r="I136" s="51"/>
      <c r="J136" s="29"/>
      <c r="K136" s="29"/>
      <c r="L136" s="29"/>
      <c r="M136" s="29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8.0" customHeight="1">
      <c r="A137" s="29"/>
      <c r="B137" s="146" t="s">
        <v>20</v>
      </c>
      <c r="C137" s="154"/>
      <c r="D137" s="50"/>
      <c r="E137" s="50"/>
      <c r="F137" s="50"/>
      <c r="G137" s="99" t="str">
        <f>IF(E137="","",IF(F137="","",(VLOOKUP(E137,RATELI,2,0)*F137)))</f>
        <v/>
      </c>
      <c r="H137" s="127" t="s">
        <v>53</v>
      </c>
      <c r="I137" s="51"/>
      <c r="J137" s="29"/>
      <c r="K137" s="29"/>
      <c r="L137" s="29"/>
      <c r="M137" s="29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8.0" customHeight="1">
      <c r="A138" s="29"/>
      <c r="B138" s="146" t="s">
        <v>20</v>
      </c>
      <c r="C138" s="154"/>
      <c r="D138" s="50"/>
      <c r="E138" s="50"/>
      <c r="F138" s="50"/>
      <c r="G138" s="99" t="str">
        <f>IF(E138="","",IF(F138="","",(VLOOKUP(E138,RATELI,2,0)*F138)))</f>
        <v/>
      </c>
      <c r="H138" s="127" t="s">
        <v>53</v>
      </c>
      <c r="I138" s="51"/>
      <c r="J138" s="29"/>
      <c r="K138" s="29"/>
      <c r="L138" s="29"/>
      <c r="M138" s="29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8.0" customHeight="1">
      <c r="A139" s="29"/>
      <c r="B139" s="146" t="s">
        <v>20</v>
      </c>
      <c r="C139" s="154"/>
      <c r="D139" s="50"/>
      <c r="E139" s="50"/>
      <c r="F139" s="50"/>
      <c r="G139" s="99" t="str">
        <f>IF(E139="","",IF(F139="","",(VLOOKUP(E139,RATELI,2,0)*F139)))</f>
        <v/>
      </c>
      <c r="H139" s="127" t="s">
        <v>53</v>
      </c>
      <c r="I139" s="51"/>
      <c r="J139" s="29"/>
      <c r="K139" s="29"/>
      <c r="L139" s="29"/>
      <c r="M139" s="29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8.0" customHeight="1">
      <c r="A140" s="29"/>
      <c r="B140" s="146" t="s">
        <v>20</v>
      </c>
      <c r="C140" s="154"/>
      <c r="D140" s="50"/>
      <c r="E140" s="50"/>
      <c r="F140" s="50"/>
      <c r="G140" s="99" t="str">
        <f>IF(E140="","",IF(F140="","",(VLOOKUP(E140,RATELI,2,0)*F140)))</f>
        <v/>
      </c>
      <c r="H140" s="127" t="s">
        <v>53</v>
      </c>
      <c r="I140" s="51"/>
      <c r="J140" s="29"/>
      <c r="K140" s="29"/>
      <c r="L140" s="29"/>
      <c r="M140" s="29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8.0" customHeight="1">
      <c r="A141" s="29"/>
      <c r="B141" s="146" t="s">
        <v>20</v>
      </c>
      <c r="C141" s="154"/>
      <c r="D141" s="50"/>
      <c r="E141" s="50"/>
      <c r="F141" s="50"/>
      <c r="G141" s="99" t="str">
        <f>IF(E141="","",IF(F141="","",(VLOOKUP(E141,RATELI,2,0)*F141)))</f>
        <v/>
      </c>
      <c r="H141" s="127" t="s">
        <v>53</v>
      </c>
      <c r="I141" s="51"/>
      <c r="J141" s="29"/>
      <c r="K141" s="29"/>
      <c r="L141" s="29"/>
      <c r="M141" s="29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8.0" customHeight="1">
      <c r="A142" s="29"/>
      <c r="B142" s="146" t="s">
        <v>20</v>
      </c>
      <c r="C142" s="154"/>
      <c r="D142" s="50"/>
      <c r="E142" s="50"/>
      <c r="F142" s="50"/>
      <c r="G142" s="99" t="str">
        <f>IF(E142="","",IF(F142="","",(VLOOKUP(E142,RATELI,2,0)*F142)))</f>
        <v/>
      </c>
      <c r="H142" s="127" t="s">
        <v>53</v>
      </c>
      <c r="I142" s="51"/>
      <c r="J142" s="29"/>
      <c r="K142" s="29"/>
      <c r="L142" s="29"/>
      <c r="M142" s="29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8.0" customHeight="1">
      <c r="A143" s="29"/>
      <c r="B143" s="146" t="s">
        <v>20</v>
      </c>
      <c r="C143" s="154"/>
      <c r="D143" s="50"/>
      <c r="E143" s="50"/>
      <c r="F143" s="50"/>
      <c r="G143" s="99" t="str">
        <f>IF(E143="","",IF(F143="","",(VLOOKUP(E143,RATELI,2,0)*F143)))</f>
        <v/>
      </c>
      <c r="H143" s="127" t="s">
        <v>53</v>
      </c>
      <c r="I143" s="51"/>
      <c r="J143" s="29"/>
      <c r="K143" s="29"/>
      <c r="L143" s="29"/>
      <c r="M143" s="29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8.0" customHeight="1">
      <c r="A144" s="29"/>
      <c r="B144" s="146" t="s">
        <v>20</v>
      </c>
      <c r="C144" s="154"/>
      <c r="D144" s="50"/>
      <c r="E144" s="50"/>
      <c r="F144" s="50"/>
      <c r="G144" s="99" t="str">
        <f>IF(E144="","",IF(F144="","",(VLOOKUP(E144,RATELI,2,0)*F144)))</f>
        <v/>
      </c>
      <c r="H144" s="127" t="s">
        <v>53</v>
      </c>
      <c r="I144" s="51"/>
      <c r="J144" s="29"/>
      <c r="K144" s="29"/>
      <c r="L144" s="29"/>
      <c r="M144" s="29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8.0" customHeight="1">
      <c r="A145" s="29"/>
      <c r="B145" s="146" t="s">
        <v>20</v>
      </c>
      <c r="C145" s="91"/>
      <c r="D145" s="163"/>
      <c r="E145" s="93"/>
      <c r="F145" s="163"/>
      <c r="G145" s="95" t="str">
        <f>IF(E145="","",IF(F145="","",(VLOOKUP(E145,RATELI,2,0)*F145)))</f>
        <v/>
      </c>
      <c r="H145" s="127" t="s">
        <v>53</v>
      </c>
      <c r="I145" s="164"/>
      <c r="J145" s="29"/>
      <c r="K145" s="29"/>
      <c r="L145" s="29"/>
      <c r="M145" s="29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8.0" customHeight="1">
      <c r="A146" s="29"/>
      <c r="B146" s="146" t="s">
        <v>20</v>
      </c>
      <c r="C146" s="154"/>
      <c r="D146" s="60"/>
      <c r="E146" s="50"/>
      <c r="F146" s="60"/>
      <c r="G146" s="99" t="str">
        <f>IF(E146="","",IF(F146="","",(VLOOKUP(E146,RATELI,2,0)*F146)))</f>
        <v/>
      </c>
      <c r="H146" s="127" t="s">
        <v>53</v>
      </c>
      <c r="I146" s="61"/>
      <c r="J146" s="29"/>
      <c r="K146" s="29"/>
      <c r="L146" s="29"/>
      <c r="M146" s="29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8.0" customHeight="1">
      <c r="A147" s="29"/>
      <c r="B147" s="146" t="s">
        <v>20</v>
      </c>
      <c r="C147" s="154"/>
      <c r="D147" s="60"/>
      <c r="E147" s="50"/>
      <c r="F147" s="60"/>
      <c r="G147" s="99" t="str">
        <f>IF(E147="","",IF(F147="","",(VLOOKUP(E147,RATELI,2,0)*F147)))</f>
        <v/>
      </c>
      <c r="H147" s="127" t="s">
        <v>53</v>
      </c>
      <c r="I147" s="61"/>
      <c r="J147" s="29"/>
      <c r="K147" s="29"/>
      <c r="L147" s="29"/>
      <c r="M147" s="29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8.0" customHeight="1">
      <c r="A148" s="29"/>
      <c r="B148" s="146" t="s">
        <v>20</v>
      </c>
      <c r="C148" s="154"/>
      <c r="D148" s="60"/>
      <c r="E148" s="50"/>
      <c r="F148" s="60"/>
      <c r="G148" s="99" t="str">
        <f>IF(E148="","",IF(F148="","",(VLOOKUP(E148,RATELI,2,0)*F148)))</f>
        <v/>
      </c>
      <c r="H148" s="127" t="s">
        <v>53</v>
      </c>
      <c r="I148" s="61"/>
      <c r="J148" s="29"/>
      <c r="K148" s="29"/>
      <c r="L148" s="29"/>
      <c r="M148" s="29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8.0" customHeight="1">
      <c r="A149" s="29"/>
      <c r="B149" s="146" t="s">
        <v>20</v>
      </c>
      <c r="C149" s="154"/>
      <c r="D149" s="60"/>
      <c r="E149" s="50"/>
      <c r="F149" s="60"/>
      <c r="G149" s="99" t="str">
        <f>IF(E149="","",IF(F149="","",(VLOOKUP(E149,RATELI,2,0)*F149)))</f>
        <v/>
      </c>
      <c r="H149" s="127" t="s">
        <v>53</v>
      </c>
      <c r="I149" s="61"/>
      <c r="J149" s="29"/>
      <c r="K149" s="29"/>
      <c r="L149" s="29"/>
      <c r="M149" s="29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8.0" customHeight="1">
      <c r="A150" s="29"/>
      <c r="B150" s="146" t="s">
        <v>20</v>
      </c>
      <c r="C150" s="154"/>
      <c r="D150" s="60"/>
      <c r="E150" s="50"/>
      <c r="F150" s="60"/>
      <c r="G150" s="99" t="str">
        <f>IF(E150="","",IF(F150="","",(VLOOKUP(E150,RATELI,2,0)*F150)))</f>
        <v/>
      </c>
      <c r="H150" s="127" t="s">
        <v>53</v>
      </c>
      <c r="I150" s="61"/>
      <c r="J150" s="29"/>
      <c r="K150" s="29"/>
      <c r="L150" s="29"/>
      <c r="M150" s="29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8.0" customHeight="1">
      <c r="A151" s="29"/>
      <c r="B151" s="146" t="s">
        <v>20</v>
      </c>
      <c r="C151" s="154"/>
      <c r="D151" s="60"/>
      <c r="E151" s="50"/>
      <c r="F151" s="60"/>
      <c r="G151" s="99" t="str">
        <f>IF(E151="","",IF(F151="","",(VLOOKUP(E151,RATELI,2,0)*F151)))</f>
        <v/>
      </c>
      <c r="H151" s="127" t="s">
        <v>53</v>
      </c>
      <c r="I151" s="61"/>
      <c r="J151" s="29"/>
      <c r="K151" s="29"/>
      <c r="L151" s="29"/>
      <c r="M151" s="29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8.0" customHeight="1">
      <c r="A152" s="29"/>
      <c r="B152" s="146" t="s">
        <v>20</v>
      </c>
      <c r="C152" s="154"/>
      <c r="D152" s="60"/>
      <c r="E152" s="50"/>
      <c r="F152" s="60"/>
      <c r="G152" s="99" t="str">
        <f>IF(E152="","",IF(F152="","",(VLOOKUP(E152,RATELI,2,0)*F152)))</f>
        <v/>
      </c>
      <c r="H152" s="127" t="s">
        <v>53</v>
      </c>
      <c r="I152" s="61"/>
      <c r="J152" s="29"/>
      <c r="K152" s="29"/>
      <c r="L152" s="29"/>
      <c r="M152" s="29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8.0" customHeight="1">
      <c r="A153" s="29"/>
      <c r="B153" s="146" t="s">
        <v>20</v>
      </c>
      <c r="C153" s="154"/>
      <c r="D153" s="60"/>
      <c r="E153" s="50"/>
      <c r="F153" s="60"/>
      <c r="G153" s="99" t="str">
        <f>IF(E153="","",IF(F153="","",(VLOOKUP(E153,RATELI,2,0)*F153)))</f>
        <v/>
      </c>
      <c r="H153" s="127" t="s">
        <v>53</v>
      </c>
      <c r="I153" s="61"/>
      <c r="J153" s="29"/>
      <c r="K153" s="29"/>
      <c r="L153" s="29"/>
      <c r="M153" s="29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8.0" customHeight="1">
      <c r="A154" s="29"/>
      <c r="B154" s="146" t="s">
        <v>20</v>
      </c>
      <c r="C154" s="154"/>
      <c r="D154" s="60"/>
      <c r="E154" s="50"/>
      <c r="F154" s="60"/>
      <c r="G154" s="99" t="str">
        <f>IF(E154="","",IF(F154="","",(VLOOKUP(E154,RATELI,2,0)*F154)))</f>
        <v/>
      </c>
      <c r="H154" s="127" t="s">
        <v>53</v>
      </c>
      <c r="I154" s="61"/>
      <c r="J154" s="29"/>
      <c r="K154" s="29"/>
      <c r="L154" s="29"/>
      <c r="M154" s="29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8.0" customHeight="1">
      <c r="A155" s="29"/>
      <c r="B155" s="146" t="s">
        <v>20</v>
      </c>
      <c r="C155" s="154"/>
      <c r="D155" s="60"/>
      <c r="E155" s="50"/>
      <c r="F155" s="60"/>
      <c r="G155" s="99" t="str">
        <f>IF(E155="","",IF(F155="","",(VLOOKUP(E155,RATELI,2,0)*F155)))</f>
        <v/>
      </c>
      <c r="H155" s="127" t="s">
        <v>53</v>
      </c>
      <c r="I155" s="61"/>
      <c r="J155" s="29"/>
      <c r="K155" s="29"/>
      <c r="L155" s="29"/>
      <c r="M155" s="29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8.0" customHeight="1">
      <c r="A156" s="29"/>
      <c r="B156" s="146" t="s">
        <v>20</v>
      </c>
      <c r="C156" s="154"/>
      <c r="D156" s="60"/>
      <c r="E156" s="50"/>
      <c r="F156" s="60"/>
      <c r="G156" s="99" t="str">
        <f>IF(E156="","",IF(F156="","",(VLOOKUP(E156,RATELI,2,0)*F156)))</f>
        <v/>
      </c>
      <c r="H156" s="127" t="s">
        <v>53</v>
      </c>
      <c r="I156" s="61"/>
      <c r="J156" s="29"/>
      <c r="K156" s="29"/>
      <c r="L156" s="29"/>
      <c r="M156" s="29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8.0" customHeight="1">
      <c r="A157" s="29"/>
      <c r="B157" s="146" t="s">
        <v>20</v>
      </c>
      <c r="C157" s="101"/>
      <c r="D157" s="162"/>
      <c r="E157" s="64"/>
      <c r="F157" s="64"/>
      <c r="G157" s="104" t="str">
        <f>IF(E157="","",IF(F157="","",(VLOOKUP(E157,RATELI,2,0)*F157)))</f>
        <v/>
      </c>
      <c r="H157" s="131" t="s">
        <v>53</v>
      </c>
      <c r="I157" s="65"/>
      <c r="J157" s="29"/>
      <c r="K157" s="29"/>
      <c r="L157" s="29"/>
      <c r="M157" s="29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8.0" customHeight="1">
      <c r="A158" s="29"/>
      <c r="B158" s="29"/>
      <c r="C158" s="66"/>
      <c r="D158" s="29"/>
      <c r="E158" s="29"/>
      <c r="F158" s="142" t="s">
        <v>51</v>
      </c>
      <c r="G158" s="107">
        <f>SUM(G125:G157)</f>
        <v>0</v>
      </c>
      <c r="H158" s="29"/>
      <c r="I158" s="29"/>
      <c r="J158" s="29"/>
      <c r="K158" s="29"/>
      <c r="L158" s="29"/>
      <c r="M158" s="29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8.0" customHeight="1">
      <c r="A159" s="29"/>
      <c r="B159" s="29"/>
      <c r="C159" s="66"/>
      <c r="D159" s="29"/>
      <c r="E159" s="108" t="s">
        <v>52</v>
      </c>
      <c r="F159" s="109" t="s">
        <v>53</v>
      </c>
      <c r="G159" s="143">
        <f>SUMIF(H125:H157,"העובד",G125:G157)</f>
        <v>0</v>
      </c>
      <c r="H159" s="29"/>
      <c r="I159" s="29"/>
      <c r="J159" s="29"/>
      <c r="K159" s="29"/>
      <c r="L159" s="29"/>
      <c r="M159" s="29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8.0" customHeight="1">
      <c r="A160" s="29"/>
      <c r="B160" s="29"/>
      <c r="C160" s="66"/>
      <c r="D160" s="29"/>
      <c r="E160" s="108" t="s">
        <v>54</v>
      </c>
      <c r="F160" s="109" t="s">
        <v>50</v>
      </c>
      <c r="G160" s="143">
        <f>SUMIF(H125:H157,"כ. אשראי חברה",G125:G157)</f>
        <v>0</v>
      </c>
      <c r="H160" s="29"/>
      <c r="I160" s="29"/>
      <c r="J160" s="29"/>
      <c r="K160" s="29"/>
      <c r="L160" s="29"/>
      <c r="M160" s="29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8.0" customHeight="1">
      <c r="A161" s="29"/>
      <c r="B161" s="29"/>
      <c r="C161" s="66"/>
      <c r="D161" s="29"/>
      <c r="E161" s="111"/>
      <c r="F161" s="112"/>
      <c r="G161" s="143"/>
      <c r="H161" s="29"/>
      <c r="I161" s="29"/>
      <c r="J161" s="29"/>
      <c r="K161" s="29"/>
      <c r="L161" s="29"/>
      <c r="M161" s="29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8.0" customHeight="1">
      <c r="A162" s="29"/>
      <c r="B162" s="29"/>
      <c r="C162" s="66"/>
      <c r="D162" s="29"/>
      <c r="E162" s="111"/>
      <c r="F162" s="112"/>
      <c r="G162" s="143"/>
      <c r="H162" s="29"/>
      <c r="I162" s="29"/>
      <c r="J162" s="29"/>
      <c r="K162" s="29"/>
      <c r="L162" s="29"/>
      <c r="M162" s="29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8.0" customHeight="1">
      <c r="A163" s="29"/>
      <c r="B163" s="29"/>
      <c r="C163" s="165"/>
      <c r="D163" s="166"/>
      <c r="E163" s="166"/>
      <c r="F163" s="166"/>
      <c r="G163" s="166"/>
      <c r="H163" s="166"/>
      <c r="I163" s="166"/>
      <c r="J163" s="29"/>
      <c r="K163" s="29"/>
      <c r="L163" s="29"/>
      <c r="M163" s="29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8.0" customHeight="1">
      <c r="A164" s="29"/>
      <c r="B164" s="29"/>
      <c r="C164" s="86" t="s">
        <v>21</v>
      </c>
      <c r="D164" s="87"/>
      <c r="E164" s="87"/>
      <c r="F164" s="87"/>
      <c r="G164" s="87"/>
      <c r="H164" s="87"/>
      <c r="I164" s="88"/>
      <c r="J164" s="29"/>
      <c r="K164" s="29"/>
      <c r="L164" s="29"/>
      <c r="M164" s="29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29"/>
      <c r="B165" s="29"/>
      <c r="C165" s="68" t="s">
        <v>43</v>
      </c>
      <c r="D165" s="70" t="s">
        <v>59</v>
      </c>
      <c r="E165" s="70" t="s">
        <v>45</v>
      </c>
      <c r="F165" s="70" t="s">
        <v>46</v>
      </c>
      <c r="G165" s="70" t="s">
        <v>47</v>
      </c>
      <c r="H165" s="70" t="s">
        <v>48</v>
      </c>
      <c r="I165" s="89" t="s">
        <v>49</v>
      </c>
      <c r="J165" s="29"/>
      <c r="K165" s="29"/>
      <c r="L165" s="29"/>
      <c r="M165" s="29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29"/>
      <c r="B166" s="29"/>
      <c r="C166" s="159" t="str">
        <f>IFERROR(__xludf.DUMMYFUNCTION("QUERY(
  RAW!$A$7:$E$1054,
  ""select Col1, Col5, Col4, Col3 where Col2 contains '"" &amp; C164 &amp; ""'"",
  0
)
"),"#N/A")</f>
        <v>#N/A</v>
      </c>
      <c r="D166" s="46"/>
      <c r="E166" s="46"/>
      <c r="F166" s="46"/>
      <c r="G166" s="160" t="str">
        <f>IF(E166="","",IF(F166="","",(VLOOKUP(E166,RATELI,2,0)*F166)))</f>
        <v/>
      </c>
      <c r="H166" s="123" t="s">
        <v>53</v>
      </c>
      <c r="I166" s="47"/>
      <c r="J166" s="29"/>
      <c r="K166" s="29"/>
      <c r="L166" s="29"/>
      <c r="M166" s="29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29"/>
      <c r="B167" s="29"/>
      <c r="C167" s="154"/>
      <c r="D167" s="50"/>
      <c r="E167" s="50"/>
      <c r="F167" s="50"/>
      <c r="G167" s="99" t="str">
        <f>IF(E167="","",IF(F167="","",(VLOOKUP(E167,RATELI,2,0)*F167)))</f>
        <v/>
      </c>
      <c r="H167" s="127" t="s">
        <v>53</v>
      </c>
      <c r="I167" s="51"/>
      <c r="J167" s="29"/>
      <c r="K167" s="29"/>
      <c r="L167" s="29"/>
      <c r="M167" s="29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29"/>
      <c r="B168" s="29"/>
      <c r="C168" s="154"/>
      <c r="D168" s="50"/>
      <c r="E168" s="50"/>
      <c r="F168" s="50"/>
      <c r="G168" s="99" t="str">
        <f>IF(E168="","",IF(F168="","",(VLOOKUP(E168,RATELI,2,0)*F168)))</f>
        <v/>
      </c>
      <c r="H168" s="127" t="s">
        <v>53</v>
      </c>
      <c r="I168" s="51"/>
      <c r="J168" s="29"/>
      <c r="K168" s="29"/>
      <c r="L168" s="29"/>
      <c r="M168" s="29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29"/>
      <c r="B169" s="29"/>
      <c r="C169" s="154"/>
      <c r="D169" s="50"/>
      <c r="E169" s="50"/>
      <c r="F169" s="50"/>
      <c r="G169" s="99" t="str">
        <f>IF(E169="","",IF(F169="","",(VLOOKUP(E169,RATELI,2,0)*F169)))</f>
        <v/>
      </c>
      <c r="H169" s="127" t="s">
        <v>53</v>
      </c>
      <c r="I169" s="51"/>
      <c r="J169" s="29"/>
      <c r="K169" s="29"/>
      <c r="L169" s="29"/>
      <c r="M169" s="29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29"/>
      <c r="B170" s="29"/>
      <c r="C170" s="154"/>
      <c r="D170" s="50"/>
      <c r="E170" s="50"/>
      <c r="F170" s="50"/>
      <c r="G170" s="99" t="str">
        <f>IF(E170="","",IF(F170="","",(VLOOKUP(E170,RATELI,2,0)*F170)))</f>
        <v/>
      </c>
      <c r="H170" s="127" t="s">
        <v>53</v>
      </c>
      <c r="I170" s="51"/>
      <c r="J170" s="29"/>
      <c r="K170" s="29"/>
      <c r="L170" s="29"/>
      <c r="M170" s="29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29"/>
      <c r="B171" s="29"/>
      <c r="C171" s="154"/>
      <c r="D171" s="50"/>
      <c r="E171" s="50"/>
      <c r="F171" s="50"/>
      <c r="G171" s="99" t="str">
        <f>IF(E171="","",IF(F171="","",(VLOOKUP(E171,RATELI,2,0)*F171)))</f>
        <v/>
      </c>
      <c r="H171" s="127" t="s">
        <v>53</v>
      </c>
      <c r="I171" s="51"/>
      <c r="J171" s="29"/>
      <c r="K171" s="29"/>
      <c r="L171" s="29"/>
      <c r="M171" s="29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29"/>
      <c r="B172" s="29"/>
      <c r="C172" s="154"/>
      <c r="D172" s="50"/>
      <c r="E172" s="50"/>
      <c r="F172" s="50"/>
      <c r="G172" s="99" t="str">
        <f>IF(E172="","",IF(F172="","",(VLOOKUP(E172,RATELI,2,0)*F172)))</f>
        <v/>
      </c>
      <c r="H172" s="127" t="s">
        <v>53</v>
      </c>
      <c r="I172" s="51"/>
      <c r="J172" s="29"/>
      <c r="K172" s="29"/>
      <c r="L172" s="29"/>
      <c r="M172" s="29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29"/>
      <c r="B173" s="29"/>
      <c r="C173" s="154"/>
      <c r="D173" s="50"/>
      <c r="E173" s="50"/>
      <c r="F173" s="50"/>
      <c r="G173" s="99" t="str">
        <f>IF(E173="","",IF(F173="","",(VLOOKUP(E173,RATELI,2,0)*F173)))</f>
        <v/>
      </c>
      <c r="H173" s="127" t="s">
        <v>53</v>
      </c>
      <c r="I173" s="51"/>
      <c r="J173" s="29"/>
      <c r="K173" s="29"/>
      <c r="L173" s="29"/>
      <c r="M173" s="29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29"/>
      <c r="B174" s="29"/>
      <c r="C174" s="154"/>
      <c r="D174" s="50"/>
      <c r="E174" s="50"/>
      <c r="F174" s="50"/>
      <c r="G174" s="99" t="str">
        <f>IF(E174="","",IF(F174="","",(VLOOKUP(E174,RATELI,2,0)*F174)))</f>
        <v/>
      </c>
      <c r="H174" s="127" t="s">
        <v>53</v>
      </c>
      <c r="I174" s="51"/>
      <c r="J174" s="29"/>
      <c r="K174" s="29"/>
      <c r="L174" s="29"/>
      <c r="M174" s="29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29"/>
      <c r="B175" s="29"/>
      <c r="C175" s="154"/>
      <c r="D175" s="50"/>
      <c r="E175" s="50"/>
      <c r="F175" s="50"/>
      <c r="G175" s="99" t="str">
        <f>IF(E175="","",IF(F175="","",(VLOOKUP(E175,RATELI,2,0)*F175)))</f>
        <v/>
      </c>
      <c r="H175" s="127" t="s">
        <v>53</v>
      </c>
      <c r="I175" s="51"/>
      <c r="J175" s="29"/>
      <c r="K175" s="29"/>
      <c r="L175" s="29"/>
      <c r="M175" s="29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29"/>
      <c r="B176" s="29"/>
      <c r="C176" s="154"/>
      <c r="D176" s="50"/>
      <c r="E176" s="50"/>
      <c r="F176" s="50"/>
      <c r="G176" s="99" t="str">
        <f>IF(E176="","",IF(F176="","",(VLOOKUP(E176,RATELI,2,0)*F176)))</f>
        <v/>
      </c>
      <c r="H176" s="127" t="s">
        <v>53</v>
      </c>
      <c r="I176" s="51"/>
      <c r="J176" s="29"/>
      <c r="K176" s="29"/>
      <c r="L176" s="29"/>
      <c r="M176" s="29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29"/>
      <c r="B177" s="29"/>
      <c r="C177" s="154"/>
      <c r="D177" s="50"/>
      <c r="E177" s="50"/>
      <c r="F177" s="50"/>
      <c r="G177" s="99" t="str">
        <f>IF(E177="","",IF(F177="","",(VLOOKUP(E177,RATELI,2,0)*F177)))</f>
        <v/>
      </c>
      <c r="H177" s="50"/>
      <c r="I177" s="51"/>
      <c r="J177" s="29"/>
      <c r="K177" s="29"/>
      <c r="L177" s="29"/>
      <c r="M177" s="29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29"/>
      <c r="B178" s="29"/>
      <c r="C178" s="154"/>
      <c r="D178" s="50"/>
      <c r="E178" s="50"/>
      <c r="F178" s="50"/>
      <c r="G178" s="99" t="str">
        <f>IF(E178="","",IF(F178="","",(VLOOKUP(E178,RATELI,2,0)*F178)))</f>
        <v/>
      </c>
      <c r="H178" s="50"/>
      <c r="I178" s="51"/>
      <c r="J178" s="29"/>
      <c r="K178" s="29"/>
      <c r="L178" s="29"/>
      <c r="M178" s="29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29"/>
      <c r="B179" s="29"/>
      <c r="C179" s="154"/>
      <c r="D179" s="50"/>
      <c r="E179" s="50"/>
      <c r="F179" s="50"/>
      <c r="G179" s="99" t="str">
        <f>IF(E179="","",IF(F179="","",(VLOOKUP(E179,RATELI,2,0)*F179)))</f>
        <v/>
      </c>
      <c r="H179" s="50"/>
      <c r="I179" s="51"/>
      <c r="J179" s="29"/>
      <c r="K179" s="29"/>
      <c r="L179" s="29"/>
      <c r="M179" s="29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29"/>
      <c r="B180" s="29"/>
      <c r="C180" s="154"/>
      <c r="D180" s="50"/>
      <c r="E180" s="50"/>
      <c r="F180" s="50"/>
      <c r="G180" s="99" t="str">
        <f>IF(E180="","",IF(F180="","",(VLOOKUP(E180,RATELI,2,0)*F180)))</f>
        <v/>
      </c>
      <c r="H180" s="50"/>
      <c r="I180" s="51"/>
      <c r="J180" s="29"/>
      <c r="K180" s="29"/>
      <c r="L180" s="29"/>
      <c r="M180" s="29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29"/>
      <c r="B181" s="29"/>
      <c r="C181" s="154"/>
      <c r="D181" s="50"/>
      <c r="E181" s="50"/>
      <c r="F181" s="50"/>
      <c r="G181" s="99" t="str">
        <f>IF(E181="","",IF(F181="","",(VLOOKUP(E181,RATELI,2,0)*F181)))</f>
        <v/>
      </c>
      <c r="H181" s="50"/>
      <c r="I181" s="51"/>
      <c r="J181" s="29"/>
      <c r="K181" s="29"/>
      <c r="L181" s="29"/>
      <c r="M181" s="29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29"/>
      <c r="B182" s="29"/>
      <c r="C182" s="154"/>
      <c r="D182" s="50"/>
      <c r="E182" s="50"/>
      <c r="F182" s="50"/>
      <c r="G182" s="99" t="str">
        <f>IF(E182="","",IF(F182="","",(VLOOKUP(E182,RATELI,2,0)*F182)))</f>
        <v/>
      </c>
      <c r="H182" s="50"/>
      <c r="I182" s="51"/>
      <c r="J182" s="29"/>
      <c r="K182" s="29"/>
      <c r="L182" s="29"/>
      <c r="M182" s="29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29"/>
      <c r="B183" s="29"/>
      <c r="C183" s="154"/>
      <c r="D183" s="50"/>
      <c r="E183" s="50"/>
      <c r="F183" s="50"/>
      <c r="G183" s="99" t="str">
        <f>IF(E183="","",IF(F183="","",(VLOOKUP(E183,RATELI,2,0)*F183)))</f>
        <v/>
      </c>
      <c r="H183" s="50"/>
      <c r="I183" s="51"/>
      <c r="J183" s="29"/>
      <c r="K183" s="29"/>
      <c r="L183" s="29"/>
      <c r="M183" s="29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29"/>
      <c r="B184" s="29"/>
      <c r="C184" s="101"/>
      <c r="D184" s="162"/>
      <c r="E184" s="64"/>
      <c r="F184" s="64"/>
      <c r="G184" s="104" t="str">
        <f>IF(E184="","",IF(F184="","",(VLOOKUP(E184,RATELI,2,0)*F184)))</f>
        <v/>
      </c>
      <c r="H184" s="64"/>
      <c r="I184" s="65"/>
      <c r="J184" s="29"/>
      <c r="K184" s="29"/>
      <c r="L184" s="29"/>
      <c r="M184" s="29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29"/>
      <c r="B185" s="29"/>
      <c r="C185" s="66"/>
      <c r="D185" s="29"/>
      <c r="E185" s="29"/>
      <c r="F185" s="142" t="s">
        <v>51</v>
      </c>
      <c r="G185" s="107">
        <f>SUM(G166:G184)</f>
        <v>0</v>
      </c>
      <c r="H185" s="29"/>
      <c r="I185" s="29"/>
      <c r="J185" s="29"/>
      <c r="K185" s="29"/>
      <c r="L185" s="29"/>
      <c r="M185" s="29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29"/>
      <c r="B186" s="29"/>
      <c r="C186" s="66"/>
      <c r="D186" s="29"/>
      <c r="E186" s="108" t="s">
        <v>52</v>
      </c>
      <c r="F186" s="109" t="s">
        <v>53</v>
      </c>
      <c r="G186" s="143">
        <f>SUMIF(H166:H184,"העובד",G166:G184)</f>
        <v>0</v>
      </c>
      <c r="H186" s="29"/>
      <c r="I186" s="29"/>
      <c r="J186" s="29"/>
      <c r="K186" s="29"/>
      <c r="L186" s="29"/>
      <c r="M186" s="29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29"/>
      <c r="B187" s="29"/>
      <c r="C187" s="66"/>
      <c r="D187" s="29"/>
      <c r="E187" s="108" t="s">
        <v>54</v>
      </c>
      <c r="F187" s="109" t="s">
        <v>50</v>
      </c>
      <c r="G187" s="143">
        <f>SUMIF(H166:H184,"כ. אשראי חברה",G166:G184)</f>
        <v>0</v>
      </c>
      <c r="H187" s="29"/>
      <c r="I187" s="29"/>
      <c r="J187" s="29"/>
      <c r="K187" s="29"/>
      <c r="L187" s="29"/>
      <c r="M187" s="29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29"/>
      <c r="B188" s="29"/>
      <c r="C188" s="66"/>
      <c r="D188" s="29"/>
      <c r="E188" s="29"/>
      <c r="F188" s="29"/>
      <c r="G188" s="143"/>
      <c r="H188" s="29"/>
      <c r="I188" s="29"/>
      <c r="J188" s="29"/>
      <c r="K188" s="29"/>
      <c r="L188" s="29"/>
      <c r="M188" s="29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29"/>
      <c r="B189" s="29"/>
      <c r="C189" s="86" t="s">
        <v>22</v>
      </c>
      <c r="D189" s="87"/>
      <c r="E189" s="87"/>
      <c r="F189" s="87"/>
      <c r="G189" s="87"/>
      <c r="H189" s="87"/>
      <c r="I189" s="88"/>
      <c r="J189" s="29"/>
      <c r="K189" s="29"/>
      <c r="L189" s="29"/>
      <c r="M189" s="29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29"/>
      <c r="B190" s="29"/>
      <c r="C190" s="167" t="s">
        <v>43</v>
      </c>
      <c r="D190" s="70" t="s">
        <v>60</v>
      </c>
      <c r="E190" s="70" t="s">
        <v>45</v>
      </c>
      <c r="F190" s="70" t="s">
        <v>46</v>
      </c>
      <c r="G190" s="70" t="s">
        <v>47</v>
      </c>
      <c r="H190" s="70" t="s">
        <v>48</v>
      </c>
      <c r="I190" s="89" t="s">
        <v>49</v>
      </c>
      <c r="J190" s="29"/>
      <c r="K190" s="29"/>
      <c r="L190" s="29"/>
      <c r="M190" s="29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29"/>
      <c r="B191" s="29"/>
      <c r="C191" s="91" t="str">
        <f>IFERROR(__xludf.DUMMYFUNCTION("QUERY(
  RAW!$A$7:$E$1054,
  ""select Col1, Col5, Col4, Col3 where Col2 contains '"" &amp; C189 &amp; ""'"",
  0
)
"),"#N/A")</f>
        <v>#N/A</v>
      </c>
      <c r="D191" s="93"/>
      <c r="E191" s="93"/>
      <c r="F191" s="93"/>
      <c r="G191" s="95" t="str">
        <f>IF(E191="","",IF(F191="","",(VLOOKUP(E191,RATELI,2,0)*F191)))</f>
        <v/>
      </c>
      <c r="H191" s="92" t="s">
        <v>53</v>
      </c>
      <c r="I191" s="97"/>
      <c r="J191" s="29"/>
      <c r="K191" s="29"/>
      <c r="L191" s="29"/>
      <c r="M191" s="29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29"/>
      <c r="B192" s="29"/>
      <c r="C192" s="154"/>
      <c r="D192" s="50"/>
      <c r="E192" s="50"/>
      <c r="F192" s="50"/>
      <c r="G192" s="99" t="str">
        <f>IF(E192="","",IF(F192="","",(VLOOKUP(E192,RATELI,2,0)*F192)))</f>
        <v/>
      </c>
      <c r="H192" s="50"/>
      <c r="I192" s="51"/>
      <c r="J192" s="29"/>
      <c r="K192" s="29"/>
      <c r="L192" s="29"/>
      <c r="M192" s="29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29"/>
      <c r="B193" s="29"/>
      <c r="C193" s="154"/>
      <c r="D193" s="50"/>
      <c r="E193" s="50"/>
      <c r="F193" s="50"/>
      <c r="G193" s="99"/>
      <c r="H193" s="50"/>
      <c r="I193" s="51"/>
      <c r="J193" s="29"/>
      <c r="K193" s="29"/>
      <c r="L193" s="29"/>
      <c r="M193" s="29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29"/>
      <c r="B194" s="29"/>
      <c r="C194" s="154"/>
      <c r="D194" s="50"/>
      <c r="E194" s="50"/>
      <c r="F194" s="50"/>
      <c r="G194" s="99" t="str">
        <f>IF(E194="","",IF(F194="","",(VLOOKUP(E194,RATELI,2,0)*F194)))</f>
        <v/>
      </c>
      <c r="H194" s="50"/>
      <c r="I194" s="51"/>
      <c r="J194" s="29"/>
      <c r="K194" s="29"/>
      <c r="L194" s="29"/>
      <c r="M194" s="29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29"/>
      <c r="B195" s="29"/>
      <c r="C195" s="154"/>
      <c r="D195" s="50"/>
      <c r="E195" s="50"/>
      <c r="F195" s="50"/>
      <c r="G195" s="99" t="str">
        <f>IF(E195="","",IF(F195="","",(VLOOKUP(E195,RATELI,2,0)*F195)))</f>
        <v/>
      </c>
      <c r="H195" s="50"/>
      <c r="I195" s="51"/>
      <c r="J195" s="29"/>
      <c r="K195" s="29"/>
      <c r="L195" s="29"/>
      <c r="M195" s="29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29"/>
      <c r="B196" s="29"/>
      <c r="C196" s="101"/>
      <c r="D196" s="64"/>
      <c r="E196" s="64"/>
      <c r="F196" s="64"/>
      <c r="G196" s="64"/>
      <c r="H196" s="104"/>
      <c r="I196" s="157"/>
      <c r="J196" s="29"/>
      <c r="K196" s="29"/>
      <c r="L196" s="29"/>
      <c r="M196" s="29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29"/>
      <c r="B197" s="29"/>
      <c r="C197" s="66"/>
      <c r="D197" s="29"/>
      <c r="E197" s="29"/>
      <c r="F197" s="168" t="s">
        <v>51</v>
      </c>
      <c r="G197" s="169">
        <f>SUM(G191:G196)</f>
        <v>0</v>
      </c>
      <c r="H197" s="29"/>
      <c r="I197" s="29"/>
      <c r="J197" s="29"/>
      <c r="K197" s="29"/>
      <c r="L197" s="29"/>
      <c r="M197" s="29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29"/>
      <c r="B198" s="29"/>
      <c r="C198" s="66"/>
      <c r="D198" s="29"/>
      <c r="E198" s="108" t="s">
        <v>52</v>
      </c>
      <c r="F198" s="109" t="s">
        <v>53</v>
      </c>
      <c r="G198" s="143">
        <f>SUMIF(H191:H196,"העובד",G191:G196)</f>
        <v>0</v>
      </c>
      <c r="H198" s="29"/>
      <c r="I198" s="29"/>
      <c r="J198" s="29"/>
      <c r="K198" s="29"/>
      <c r="L198" s="29"/>
      <c r="M198" s="29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29"/>
      <c r="B199" s="29"/>
      <c r="C199" s="66"/>
      <c r="D199" s="29"/>
      <c r="E199" s="108" t="s">
        <v>54</v>
      </c>
      <c r="F199" s="109" t="s">
        <v>50</v>
      </c>
      <c r="G199" s="143">
        <f>SUMIF(H191:H196,"כ. אשראי חברה",G191:G196)</f>
        <v>0</v>
      </c>
      <c r="H199" s="29"/>
      <c r="I199" s="29"/>
      <c r="J199" s="29"/>
      <c r="K199" s="29"/>
      <c r="L199" s="29"/>
      <c r="M199" s="29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29"/>
      <c r="B200" s="29"/>
      <c r="C200" s="66"/>
      <c r="D200" s="29"/>
      <c r="E200" s="111"/>
      <c r="F200" s="112"/>
      <c r="G200" s="143"/>
      <c r="H200" s="29"/>
      <c r="I200" s="29"/>
      <c r="J200" s="29"/>
      <c r="K200" s="29"/>
      <c r="L200" s="29"/>
      <c r="M200" s="29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29"/>
      <c r="B201" s="29"/>
      <c r="C201" s="170" t="s">
        <v>61</v>
      </c>
      <c r="D201" s="171">
        <f>IFERROR(
  SUMIF(H:H,"העובד",G:G),
  0
)</f>
        <v>0</v>
      </c>
      <c r="E201" s="29"/>
      <c r="F201" s="29"/>
      <c r="G201" s="29"/>
      <c r="H201" s="29"/>
      <c r="I201" s="29"/>
      <c r="J201" s="29"/>
      <c r="K201" s="29"/>
      <c r="L201" s="29"/>
      <c r="M201" s="29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29"/>
      <c r="B202" s="29"/>
      <c r="C202" s="172" t="s">
        <v>62</v>
      </c>
      <c r="D202" s="173">
        <f>G112+G199+G100+G82+G187+G92+G24</f>
        <v>0</v>
      </c>
      <c r="E202" s="29"/>
      <c r="F202" s="29"/>
      <c r="G202" s="143"/>
      <c r="H202" s="29"/>
      <c r="I202" s="29"/>
      <c r="J202" s="29"/>
      <c r="K202" s="29"/>
      <c r="L202" s="29"/>
      <c r="M202" s="29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29"/>
      <c r="B203" s="29"/>
      <c r="C203" s="174" t="s">
        <v>63</v>
      </c>
      <c r="D203" s="175">
        <f>D201</f>
        <v>0</v>
      </c>
      <c r="E203" s="29"/>
      <c r="F203" s="29"/>
      <c r="G203" s="29"/>
      <c r="H203" s="29"/>
      <c r="I203" s="29"/>
      <c r="J203" s="29"/>
      <c r="K203" s="29"/>
      <c r="L203" s="29"/>
      <c r="M203" s="29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29"/>
      <c r="B204" s="29"/>
      <c r="C204" s="66"/>
      <c r="D204" s="29"/>
      <c r="E204" s="29"/>
      <c r="F204" s="29"/>
      <c r="G204" s="143"/>
      <c r="H204" s="29"/>
      <c r="I204" s="29"/>
      <c r="J204" s="29"/>
      <c r="K204" s="29"/>
      <c r="L204" s="29"/>
      <c r="M204" s="29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29"/>
      <c r="B205" s="29"/>
      <c r="C205" s="66"/>
      <c r="D205" s="143"/>
      <c r="E205" s="29"/>
      <c r="F205" s="29"/>
      <c r="G205" s="143"/>
      <c r="H205" s="29"/>
      <c r="I205" s="29"/>
      <c r="J205" s="29"/>
      <c r="K205" s="29"/>
      <c r="L205" s="29"/>
      <c r="M205" s="29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29"/>
      <c r="B206" s="29"/>
      <c r="C206" s="66"/>
      <c r="D206" s="29"/>
      <c r="E206" s="29"/>
      <c r="F206" s="29"/>
      <c r="G206" s="143"/>
      <c r="H206" s="29"/>
      <c r="I206" s="29"/>
      <c r="J206" s="29"/>
      <c r="K206" s="29"/>
      <c r="L206" s="29"/>
      <c r="M206" s="29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29"/>
      <c r="B207" s="29"/>
      <c r="C207" s="66"/>
      <c r="D207" s="143"/>
      <c r="E207" s="29"/>
      <c r="F207" s="29"/>
      <c r="G207" s="29"/>
      <c r="H207" s="29"/>
      <c r="I207" s="29"/>
      <c r="J207" s="29"/>
      <c r="K207" s="29"/>
      <c r="L207" s="29"/>
      <c r="M207" s="29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29"/>
      <c r="B208" s="29"/>
      <c r="C208" s="66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29"/>
      <c r="B209" s="29"/>
      <c r="C209" s="66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29"/>
      <c r="B210" s="29"/>
      <c r="C210" s="66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29"/>
      <c r="B211" s="29"/>
      <c r="C211" s="66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29"/>
      <c r="B212" s="29"/>
      <c r="C212" s="66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29"/>
      <c r="B213" s="29"/>
      <c r="C213" s="66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29"/>
      <c r="B214" s="29"/>
      <c r="C214" s="66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29"/>
      <c r="B215" s="29"/>
      <c r="C215" s="66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29"/>
      <c r="B216" s="29"/>
      <c r="C216" s="66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29"/>
      <c r="B217" s="29"/>
      <c r="C217" s="66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29"/>
      <c r="B218" s="29"/>
      <c r="C218" s="66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29"/>
      <c r="B219" s="29"/>
      <c r="C219" s="66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29"/>
      <c r="B220" s="29"/>
      <c r="C220" s="66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29"/>
      <c r="B221" s="29"/>
      <c r="C221" s="66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29"/>
      <c r="B222" s="29"/>
      <c r="C222" s="66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29"/>
      <c r="B223" s="29"/>
      <c r="C223" s="66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29"/>
      <c r="B224" s="29"/>
      <c r="C224" s="66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29"/>
      <c r="B225" s="29"/>
      <c r="C225" s="66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29"/>
      <c r="B226" s="29"/>
      <c r="C226" s="66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29"/>
      <c r="B227" s="29"/>
      <c r="C227" s="66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29"/>
      <c r="B228" s="29"/>
      <c r="C228" s="66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29"/>
      <c r="B229" s="29"/>
      <c r="C229" s="66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29"/>
      <c r="B230" s="29"/>
      <c r="C230" s="66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29"/>
      <c r="B231" s="29"/>
      <c r="C231" s="66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29"/>
      <c r="B232" s="29"/>
      <c r="C232" s="66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29"/>
      <c r="B233" s="29"/>
      <c r="C233" s="66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29"/>
      <c r="B234" s="29"/>
      <c r="C234" s="66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29"/>
      <c r="B235" s="29"/>
      <c r="C235" s="66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29"/>
      <c r="B236" s="29"/>
      <c r="C236" s="66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29"/>
      <c r="B237" s="29"/>
      <c r="C237" s="66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29"/>
      <c r="B238" s="29"/>
      <c r="C238" s="66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29"/>
      <c r="B239" s="29"/>
      <c r="C239" s="66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29"/>
      <c r="B240" s="29"/>
      <c r="C240" s="66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29"/>
      <c r="B241" s="29"/>
      <c r="C241" s="66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29"/>
      <c r="B242" s="29"/>
      <c r="C242" s="66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29"/>
      <c r="B243" s="29"/>
      <c r="C243" s="66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29"/>
      <c r="B244" s="29"/>
      <c r="C244" s="66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29"/>
      <c r="B245" s="29"/>
      <c r="C245" s="66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29"/>
      <c r="B246" s="29"/>
      <c r="C246" s="66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29"/>
      <c r="B247" s="29"/>
      <c r="C247" s="66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29"/>
      <c r="B248" s="29"/>
      <c r="C248" s="66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29"/>
      <c r="B249" s="29"/>
      <c r="C249" s="66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29"/>
      <c r="B250" s="29"/>
      <c r="C250" s="66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29"/>
      <c r="B251" s="29"/>
      <c r="C251" s="66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29"/>
      <c r="B252" s="29"/>
      <c r="C252" s="66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29"/>
      <c r="B253" s="29"/>
      <c r="C253" s="66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29"/>
      <c r="B254" s="29"/>
      <c r="C254" s="66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29"/>
      <c r="B255" s="29"/>
      <c r="C255" s="66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29"/>
      <c r="B256" s="29"/>
      <c r="C256" s="66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29"/>
      <c r="B257" s="29"/>
      <c r="C257" s="66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29"/>
      <c r="B258" s="29"/>
      <c r="C258" s="66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29"/>
      <c r="B259" s="29"/>
      <c r="C259" s="66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29"/>
      <c r="B260" s="29"/>
      <c r="C260" s="66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29"/>
      <c r="B261" s="29"/>
      <c r="C261" s="66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29"/>
      <c r="B262" s="29"/>
      <c r="C262" s="66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29"/>
      <c r="B263" s="29"/>
      <c r="C263" s="66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29"/>
      <c r="B264" s="29"/>
      <c r="C264" s="66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29"/>
      <c r="B265" s="29"/>
      <c r="C265" s="66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29"/>
      <c r="B266" s="29"/>
      <c r="C266" s="66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29"/>
      <c r="B267" s="29"/>
      <c r="C267" s="66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29"/>
      <c r="B268" s="29"/>
      <c r="C268" s="66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29"/>
      <c r="B269" s="29"/>
      <c r="C269" s="66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29"/>
      <c r="B270" s="29"/>
      <c r="C270" s="66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29"/>
      <c r="B271" s="29"/>
      <c r="C271" s="66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29"/>
      <c r="B272" s="29"/>
      <c r="C272" s="66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29"/>
      <c r="B273" s="29"/>
      <c r="C273" s="66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29"/>
      <c r="B274" s="29"/>
      <c r="C274" s="66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29"/>
      <c r="B275" s="29"/>
      <c r="C275" s="66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29"/>
      <c r="B276" s="29"/>
      <c r="C276" s="66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29"/>
      <c r="B277" s="29"/>
      <c r="C277" s="66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29"/>
      <c r="B278" s="29"/>
      <c r="C278" s="66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29"/>
      <c r="B279" s="29"/>
      <c r="C279" s="66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29"/>
      <c r="B280" s="29"/>
      <c r="C280" s="66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29"/>
      <c r="B281" s="29"/>
      <c r="C281" s="66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29"/>
      <c r="B282" s="29"/>
      <c r="C282" s="66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29"/>
      <c r="B283" s="29"/>
      <c r="C283" s="66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29"/>
      <c r="B284" s="29"/>
      <c r="C284" s="66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29"/>
      <c r="B285" s="29"/>
      <c r="C285" s="66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29"/>
      <c r="B286" s="29"/>
      <c r="C286" s="66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29"/>
      <c r="B287" s="29"/>
      <c r="C287" s="66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29"/>
      <c r="B288" s="29"/>
      <c r="C288" s="66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29"/>
      <c r="B289" s="29"/>
      <c r="C289" s="66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29"/>
      <c r="B290" s="29"/>
      <c r="C290" s="66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29"/>
      <c r="B291" s="29"/>
      <c r="C291" s="66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29"/>
      <c r="B292" s="29"/>
      <c r="C292" s="66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29"/>
      <c r="B293" s="29"/>
      <c r="C293" s="66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29"/>
      <c r="B294" s="29"/>
      <c r="C294" s="66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29"/>
      <c r="B295" s="29"/>
      <c r="C295" s="66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29"/>
      <c r="B296" s="29"/>
      <c r="C296" s="66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29"/>
      <c r="B297" s="29"/>
      <c r="C297" s="66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29"/>
      <c r="B298" s="29"/>
      <c r="C298" s="66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29"/>
      <c r="B299" s="29"/>
      <c r="C299" s="66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29"/>
      <c r="B300" s="29"/>
      <c r="C300" s="66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29"/>
      <c r="B301" s="29"/>
      <c r="C301" s="66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29"/>
      <c r="B302" s="29"/>
      <c r="C302" s="66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29"/>
      <c r="B303" s="29"/>
      <c r="C303" s="66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29"/>
      <c r="B304" s="29"/>
      <c r="C304" s="66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29"/>
      <c r="B305" s="29"/>
      <c r="C305" s="66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29"/>
      <c r="B306" s="29"/>
      <c r="C306" s="66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29"/>
      <c r="B307" s="29"/>
      <c r="C307" s="66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29"/>
      <c r="B308" s="29"/>
      <c r="C308" s="66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29"/>
      <c r="B309" s="29"/>
      <c r="C309" s="66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29"/>
      <c r="B310" s="29"/>
      <c r="C310" s="66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29"/>
      <c r="B311" s="29"/>
      <c r="C311" s="66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29"/>
      <c r="B312" s="29"/>
      <c r="C312" s="66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29"/>
      <c r="B313" s="29"/>
      <c r="C313" s="66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29"/>
      <c r="B314" s="29"/>
      <c r="C314" s="66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29"/>
      <c r="B315" s="29"/>
      <c r="C315" s="66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29"/>
      <c r="B316" s="29"/>
      <c r="C316" s="66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29"/>
      <c r="B317" s="29"/>
      <c r="C317" s="66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29"/>
      <c r="B318" s="29"/>
      <c r="C318" s="66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29"/>
      <c r="B319" s="29"/>
      <c r="C319" s="66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29"/>
      <c r="B320" s="29"/>
      <c r="C320" s="66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29"/>
      <c r="B321" s="29"/>
      <c r="C321" s="66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29"/>
      <c r="B322" s="29"/>
      <c r="C322" s="66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29"/>
      <c r="B323" s="29"/>
      <c r="C323" s="66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29"/>
      <c r="B324" s="29"/>
      <c r="C324" s="66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29"/>
      <c r="B325" s="29"/>
      <c r="C325" s="66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29"/>
      <c r="B326" s="29"/>
      <c r="C326" s="66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29"/>
      <c r="B327" s="29"/>
      <c r="C327" s="66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29"/>
      <c r="B328" s="29"/>
      <c r="C328" s="66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29"/>
      <c r="B329" s="29"/>
      <c r="C329" s="66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29"/>
      <c r="B330" s="29"/>
      <c r="C330" s="66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29"/>
      <c r="B331" s="29"/>
      <c r="C331" s="66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29"/>
      <c r="B332" s="29"/>
      <c r="C332" s="66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29"/>
      <c r="B333" s="29"/>
      <c r="C333" s="66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29"/>
      <c r="B334" s="29"/>
      <c r="C334" s="66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29"/>
      <c r="B335" s="29"/>
      <c r="C335" s="66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29"/>
      <c r="B336" s="29"/>
      <c r="C336" s="66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29"/>
      <c r="B337" s="29"/>
      <c r="C337" s="66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29"/>
      <c r="B338" s="29"/>
      <c r="C338" s="66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29"/>
      <c r="B339" s="29"/>
      <c r="C339" s="66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29"/>
      <c r="B340" s="29"/>
      <c r="C340" s="66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29"/>
      <c r="B341" s="29"/>
      <c r="C341" s="66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29"/>
      <c r="B342" s="29"/>
      <c r="C342" s="66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29"/>
      <c r="B343" s="29"/>
      <c r="C343" s="66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29"/>
      <c r="B344" s="29"/>
      <c r="C344" s="66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29"/>
      <c r="B345" s="29"/>
      <c r="C345" s="66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29"/>
      <c r="B346" s="29"/>
      <c r="C346" s="66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29"/>
      <c r="B347" s="29"/>
      <c r="C347" s="66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29"/>
      <c r="B348" s="29"/>
      <c r="C348" s="66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29"/>
      <c r="B349" s="29"/>
      <c r="C349" s="66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29"/>
      <c r="B350" s="29"/>
      <c r="C350" s="66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29"/>
      <c r="B351" s="29"/>
      <c r="C351" s="66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29"/>
      <c r="B352" s="29"/>
      <c r="C352" s="66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29"/>
      <c r="B353" s="29"/>
      <c r="C353" s="66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29"/>
      <c r="B354" s="29"/>
      <c r="C354" s="66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29"/>
      <c r="B355" s="29"/>
      <c r="C355" s="66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29"/>
      <c r="B356" s="29"/>
      <c r="C356" s="66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29"/>
      <c r="B357" s="29"/>
      <c r="C357" s="66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29"/>
      <c r="B358" s="29"/>
      <c r="C358" s="66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29"/>
      <c r="B359" s="29"/>
      <c r="C359" s="66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29"/>
      <c r="B360" s="29"/>
      <c r="C360" s="66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29"/>
      <c r="B361" s="29"/>
      <c r="C361" s="66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29"/>
      <c r="B362" s="29"/>
      <c r="C362" s="66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29"/>
      <c r="B363" s="29"/>
      <c r="C363" s="66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29"/>
      <c r="B364" s="29"/>
      <c r="C364" s="66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29"/>
      <c r="B365" s="29"/>
      <c r="C365" s="66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29"/>
      <c r="B366" s="29"/>
      <c r="C366" s="66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29"/>
      <c r="B367" s="29"/>
      <c r="C367" s="66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29"/>
      <c r="B368" s="29"/>
      <c r="C368" s="66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29"/>
      <c r="B369" s="29"/>
      <c r="C369" s="66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29"/>
      <c r="B370" s="29"/>
      <c r="C370" s="66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29"/>
      <c r="B371" s="29"/>
      <c r="C371" s="66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29"/>
      <c r="B372" s="29"/>
      <c r="C372" s="66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29"/>
      <c r="B373" s="29"/>
      <c r="C373" s="66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29"/>
      <c r="B374" s="29"/>
      <c r="C374" s="66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29"/>
      <c r="B375" s="29"/>
      <c r="C375" s="66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29"/>
      <c r="B376" s="29"/>
      <c r="C376" s="66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29"/>
      <c r="B377" s="29"/>
      <c r="C377" s="66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29"/>
      <c r="B378" s="29"/>
      <c r="C378" s="66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29"/>
      <c r="B379" s="29"/>
      <c r="C379" s="66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29"/>
      <c r="B380" s="29"/>
      <c r="C380" s="66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29"/>
      <c r="B381" s="29"/>
      <c r="C381" s="66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29"/>
      <c r="B382" s="29"/>
      <c r="C382" s="66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29"/>
      <c r="B383" s="29"/>
      <c r="C383" s="66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29"/>
      <c r="B384" s="29"/>
      <c r="C384" s="66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29"/>
      <c r="B385" s="29"/>
      <c r="C385" s="66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29"/>
      <c r="B386" s="29"/>
      <c r="C386" s="66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29"/>
      <c r="B387" s="29"/>
      <c r="C387" s="66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29"/>
      <c r="B388" s="29"/>
      <c r="C388" s="66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29"/>
      <c r="B389" s="29"/>
      <c r="C389" s="66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29"/>
      <c r="B390" s="29"/>
      <c r="C390" s="66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29"/>
      <c r="B391" s="29"/>
      <c r="C391" s="66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29"/>
      <c r="B392" s="29"/>
      <c r="C392" s="66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29"/>
      <c r="B393" s="29"/>
      <c r="C393" s="66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29"/>
      <c r="B394" s="29"/>
      <c r="C394" s="66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29"/>
      <c r="B395" s="29"/>
      <c r="C395" s="66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29"/>
      <c r="B396" s="29"/>
      <c r="C396" s="66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29"/>
      <c r="B397" s="29"/>
      <c r="C397" s="66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29"/>
      <c r="B398" s="29"/>
      <c r="C398" s="66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29"/>
      <c r="B399" s="29"/>
      <c r="C399" s="66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29"/>
      <c r="B400" s="29"/>
      <c r="C400" s="66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29"/>
      <c r="B401" s="29"/>
      <c r="C401" s="66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29"/>
      <c r="B402" s="29"/>
      <c r="C402" s="66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29"/>
      <c r="B403" s="29"/>
      <c r="C403" s="66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29"/>
      <c r="B404" s="29"/>
      <c r="C404" s="66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29"/>
      <c r="B405" s="29"/>
      <c r="C405" s="66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29"/>
      <c r="B406" s="29"/>
      <c r="C406" s="66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29"/>
      <c r="B407" s="29"/>
      <c r="C407" s="66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29"/>
      <c r="B408" s="29"/>
      <c r="C408" s="66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29"/>
      <c r="B409" s="29"/>
      <c r="C409" s="66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29"/>
      <c r="B410" s="29"/>
      <c r="C410" s="66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29"/>
      <c r="B411" s="29"/>
      <c r="C411" s="66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29"/>
      <c r="B412" s="29"/>
      <c r="C412" s="66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29"/>
      <c r="B413" s="29"/>
      <c r="C413" s="66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29"/>
      <c r="B414" s="29"/>
      <c r="C414" s="66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29"/>
      <c r="B415" s="29"/>
      <c r="C415" s="66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29"/>
      <c r="B416" s="29"/>
      <c r="C416" s="66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29"/>
      <c r="B417" s="29"/>
      <c r="C417" s="66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29"/>
      <c r="B418" s="29"/>
      <c r="C418" s="66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29"/>
      <c r="B419" s="29"/>
      <c r="C419" s="66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29"/>
      <c r="B420" s="29"/>
      <c r="C420" s="66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29"/>
      <c r="B421" s="29"/>
      <c r="C421" s="66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29"/>
      <c r="B422" s="29"/>
      <c r="C422" s="66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29"/>
      <c r="B423" s="29"/>
      <c r="C423" s="66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29"/>
      <c r="B424" s="29"/>
      <c r="C424" s="66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29"/>
      <c r="B425" s="29"/>
      <c r="C425" s="66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29"/>
      <c r="B426" s="29"/>
      <c r="C426" s="66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29"/>
      <c r="B427" s="29"/>
      <c r="C427" s="66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29"/>
      <c r="B428" s="29"/>
      <c r="C428" s="66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29"/>
      <c r="B429" s="29"/>
      <c r="C429" s="66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29"/>
      <c r="B430" s="29"/>
      <c r="C430" s="66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29"/>
      <c r="B431" s="29"/>
      <c r="C431" s="66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29"/>
      <c r="B432" s="29"/>
      <c r="C432" s="66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29"/>
      <c r="B433" s="29"/>
      <c r="C433" s="66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29"/>
      <c r="B434" s="29"/>
      <c r="C434" s="66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29"/>
      <c r="B435" s="29"/>
      <c r="C435" s="66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29"/>
      <c r="B436" s="29"/>
      <c r="C436" s="66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29"/>
      <c r="B437" s="29"/>
      <c r="C437" s="66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29"/>
      <c r="B438" s="29"/>
      <c r="C438" s="66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29"/>
      <c r="B439" s="29"/>
      <c r="C439" s="66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29"/>
      <c r="B440" s="29"/>
      <c r="C440" s="66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29"/>
      <c r="B441" s="29"/>
      <c r="C441" s="66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29"/>
      <c r="B442" s="29"/>
      <c r="C442" s="66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29"/>
      <c r="B443" s="29"/>
      <c r="C443" s="66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29"/>
      <c r="B444" s="29"/>
      <c r="C444" s="66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29"/>
      <c r="B445" s="29"/>
      <c r="C445" s="66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29"/>
      <c r="B446" s="29"/>
      <c r="C446" s="66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29"/>
      <c r="B447" s="29"/>
      <c r="C447" s="66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29"/>
      <c r="B448" s="29"/>
      <c r="C448" s="66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29"/>
      <c r="B449" s="29"/>
      <c r="C449" s="66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29"/>
      <c r="B450" s="29"/>
      <c r="C450" s="66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29"/>
      <c r="B451" s="29"/>
      <c r="C451" s="66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29"/>
      <c r="B452" s="29"/>
      <c r="C452" s="66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29"/>
      <c r="B453" s="29"/>
      <c r="C453" s="66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29"/>
      <c r="B454" s="29"/>
      <c r="C454" s="66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29"/>
      <c r="B455" s="29"/>
      <c r="C455" s="66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29"/>
      <c r="B456" s="29"/>
      <c r="C456" s="66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29"/>
      <c r="B457" s="29"/>
      <c r="C457" s="66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29"/>
      <c r="B458" s="29"/>
      <c r="C458" s="66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29"/>
      <c r="B459" s="29"/>
      <c r="C459" s="66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29"/>
      <c r="B460" s="29"/>
      <c r="C460" s="66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29"/>
      <c r="B461" s="29"/>
      <c r="C461" s="66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29"/>
      <c r="B462" s="29"/>
      <c r="C462" s="66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29"/>
      <c r="B463" s="29"/>
      <c r="C463" s="66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29"/>
      <c r="B464" s="29"/>
      <c r="C464" s="66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29"/>
      <c r="B465" s="29"/>
      <c r="C465" s="66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29"/>
      <c r="B466" s="29"/>
      <c r="C466" s="66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29"/>
      <c r="B467" s="29"/>
      <c r="C467" s="66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29"/>
      <c r="B468" s="29"/>
      <c r="C468" s="66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29"/>
      <c r="B469" s="29"/>
      <c r="C469" s="66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29"/>
      <c r="B470" s="29"/>
      <c r="C470" s="66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29"/>
      <c r="B471" s="29"/>
      <c r="C471" s="66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29"/>
      <c r="B472" s="29"/>
      <c r="C472" s="66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29"/>
      <c r="B473" s="29"/>
      <c r="C473" s="66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29"/>
      <c r="B474" s="29"/>
      <c r="C474" s="66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29"/>
      <c r="B475" s="29"/>
      <c r="C475" s="66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29"/>
      <c r="B476" s="29"/>
      <c r="C476" s="66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29"/>
      <c r="B477" s="29"/>
      <c r="C477" s="66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29"/>
      <c r="B478" s="29"/>
      <c r="C478" s="66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29"/>
      <c r="B479" s="29"/>
      <c r="C479" s="66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29"/>
      <c r="B480" s="29"/>
      <c r="C480" s="66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29"/>
      <c r="B481" s="29"/>
      <c r="C481" s="66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29"/>
      <c r="B482" s="29"/>
      <c r="C482" s="66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29"/>
      <c r="B483" s="29"/>
      <c r="C483" s="66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29"/>
      <c r="B484" s="29"/>
      <c r="C484" s="66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29"/>
      <c r="B485" s="29"/>
      <c r="C485" s="66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29"/>
      <c r="B486" s="29"/>
      <c r="C486" s="66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29"/>
      <c r="B487" s="29"/>
      <c r="C487" s="66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29"/>
      <c r="B488" s="29"/>
      <c r="C488" s="66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29"/>
      <c r="B489" s="29"/>
      <c r="C489" s="66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29"/>
      <c r="B490" s="29"/>
      <c r="C490" s="66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29"/>
      <c r="B491" s="29"/>
      <c r="C491" s="66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29"/>
      <c r="B492" s="29"/>
      <c r="C492" s="66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29"/>
      <c r="B493" s="29"/>
      <c r="C493" s="66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29"/>
      <c r="B494" s="29"/>
      <c r="C494" s="66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29"/>
      <c r="B495" s="29"/>
      <c r="C495" s="66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29"/>
      <c r="B496" s="29"/>
      <c r="C496" s="66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29"/>
      <c r="B497" s="29"/>
      <c r="C497" s="66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29"/>
      <c r="B498" s="29"/>
      <c r="C498" s="66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29"/>
      <c r="B499" s="29"/>
      <c r="C499" s="66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29"/>
      <c r="B500" s="29"/>
      <c r="C500" s="66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29"/>
      <c r="B501" s="29"/>
      <c r="C501" s="66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29"/>
      <c r="B502" s="29"/>
      <c r="C502" s="66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29"/>
      <c r="B503" s="29"/>
      <c r="C503" s="66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29"/>
      <c r="B504" s="29"/>
      <c r="C504" s="66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29"/>
      <c r="B505" s="29"/>
      <c r="C505" s="66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29"/>
      <c r="B506" s="29"/>
      <c r="C506" s="66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29"/>
      <c r="B507" s="29"/>
      <c r="C507" s="66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29"/>
      <c r="B508" s="29"/>
      <c r="C508" s="66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29"/>
      <c r="B509" s="29"/>
      <c r="C509" s="66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29"/>
      <c r="B510" s="29"/>
      <c r="C510" s="66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29"/>
      <c r="B511" s="29"/>
      <c r="C511" s="66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29"/>
      <c r="B512" s="29"/>
      <c r="C512" s="66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29"/>
      <c r="B513" s="29"/>
      <c r="C513" s="66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29"/>
      <c r="B514" s="29"/>
      <c r="C514" s="66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29"/>
      <c r="B515" s="29"/>
      <c r="C515" s="66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29"/>
      <c r="B516" s="29"/>
      <c r="C516" s="66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29"/>
      <c r="B517" s="29"/>
      <c r="C517" s="66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29"/>
      <c r="B518" s="29"/>
      <c r="C518" s="66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29"/>
      <c r="B519" s="29"/>
      <c r="C519" s="66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29"/>
      <c r="B520" s="29"/>
      <c r="C520" s="66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29"/>
      <c r="B521" s="29"/>
      <c r="C521" s="66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29"/>
      <c r="B522" s="29"/>
      <c r="C522" s="66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29"/>
      <c r="B523" s="29"/>
      <c r="C523" s="66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29"/>
      <c r="B524" s="29"/>
      <c r="C524" s="66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29"/>
      <c r="B525" s="29"/>
      <c r="C525" s="66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29"/>
      <c r="B526" s="29"/>
      <c r="C526" s="66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29"/>
      <c r="B527" s="29"/>
      <c r="C527" s="66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29"/>
      <c r="B528" s="29"/>
      <c r="C528" s="66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29"/>
      <c r="B529" s="29"/>
      <c r="C529" s="66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29"/>
      <c r="B530" s="29"/>
      <c r="C530" s="66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29"/>
      <c r="B531" s="29"/>
      <c r="C531" s="66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29"/>
      <c r="B532" s="29"/>
      <c r="C532" s="66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29"/>
      <c r="B533" s="29"/>
      <c r="C533" s="66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29"/>
      <c r="B534" s="29"/>
      <c r="C534" s="66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29"/>
      <c r="B535" s="29"/>
      <c r="C535" s="66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29"/>
      <c r="B536" s="29"/>
      <c r="C536" s="66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29"/>
      <c r="B537" s="29"/>
      <c r="C537" s="66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29"/>
      <c r="B538" s="29"/>
      <c r="C538" s="66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29"/>
      <c r="B539" s="29"/>
      <c r="C539" s="66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29"/>
      <c r="B540" s="29"/>
      <c r="C540" s="66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29"/>
      <c r="B541" s="29"/>
      <c r="C541" s="66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29"/>
      <c r="B542" s="29"/>
      <c r="C542" s="66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29"/>
      <c r="B543" s="29"/>
      <c r="C543" s="66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29"/>
      <c r="B544" s="29"/>
      <c r="C544" s="66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29"/>
      <c r="B545" s="29"/>
      <c r="C545" s="66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29"/>
      <c r="B546" s="29"/>
      <c r="C546" s="66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29"/>
      <c r="B547" s="29"/>
      <c r="C547" s="66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29"/>
      <c r="B548" s="29"/>
      <c r="C548" s="66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29"/>
      <c r="B549" s="29"/>
      <c r="C549" s="66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29"/>
      <c r="B550" s="29"/>
      <c r="C550" s="66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29"/>
      <c r="B551" s="29"/>
      <c r="C551" s="66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29"/>
      <c r="B552" s="29"/>
      <c r="C552" s="66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29"/>
      <c r="B553" s="29"/>
      <c r="C553" s="66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29"/>
      <c r="B554" s="29"/>
      <c r="C554" s="66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29"/>
      <c r="B555" s="29"/>
      <c r="C555" s="66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29"/>
      <c r="B556" s="29"/>
      <c r="C556" s="66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29"/>
      <c r="B557" s="29"/>
      <c r="C557" s="66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29"/>
      <c r="B558" s="29"/>
      <c r="C558" s="66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29"/>
      <c r="B559" s="29"/>
      <c r="C559" s="66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29"/>
      <c r="B560" s="29"/>
      <c r="C560" s="66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29"/>
      <c r="B561" s="29"/>
      <c r="C561" s="66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29"/>
      <c r="B562" s="29"/>
      <c r="C562" s="66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29"/>
      <c r="B563" s="29"/>
      <c r="C563" s="66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29"/>
      <c r="B564" s="29"/>
      <c r="C564" s="66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29"/>
      <c r="B565" s="29"/>
      <c r="C565" s="66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29"/>
      <c r="B566" s="29"/>
      <c r="C566" s="66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29"/>
      <c r="B567" s="29"/>
      <c r="C567" s="66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29"/>
      <c r="B568" s="29"/>
      <c r="C568" s="66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29"/>
      <c r="B569" s="29"/>
      <c r="C569" s="66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29"/>
      <c r="B570" s="29"/>
      <c r="C570" s="66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29"/>
      <c r="B571" s="29"/>
      <c r="C571" s="66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29"/>
      <c r="B572" s="29"/>
      <c r="C572" s="66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29"/>
      <c r="B573" s="29"/>
      <c r="C573" s="66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29"/>
      <c r="B574" s="29"/>
      <c r="C574" s="66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29"/>
      <c r="B575" s="29"/>
      <c r="C575" s="66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29"/>
      <c r="B576" s="29"/>
      <c r="C576" s="66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29"/>
      <c r="B577" s="29"/>
      <c r="C577" s="66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29"/>
      <c r="B578" s="29"/>
      <c r="C578" s="66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29"/>
      <c r="B579" s="29"/>
      <c r="C579" s="66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29"/>
      <c r="B580" s="29"/>
      <c r="C580" s="66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29"/>
      <c r="B581" s="29"/>
      <c r="C581" s="66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29"/>
      <c r="B582" s="29"/>
      <c r="C582" s="66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29"/>
      <c r="B583" s="29"/>
      <c r="C583" s="66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29"/>
      <c r="B584" s="29"/>
      <c r="C584" s="66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29"/>
      <c r="B585" s="29"/>
      <c r="C585" s="66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29"/>
      <c r="B586" s="29"/>
      <c r="C586" s="66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29"/>
      <c r="B587" s="29"/>
      <c r="C587" s="66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29"/>
      <c r="B588" s="29"/>
      <c r="C588" s="66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29"/>
      <c r="B589" s="29"/>
      <c r="C589" s="66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29"/>
      <c r="B590" s="29"/>
      <c r="C590" s="66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29"/>
      <c r="B591" s="29"/>
      <c r="C591" s="66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29"/>
      <c r="B592" s="29"/>
      <c r="C592" s="66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29"/>
      <c r="B593" s="29"/>
      <c r="C593" s="66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29"/>
      <c r="B594" s="29"/>
      <c r="C594" s="66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29"/>
      <c r="B595" s="29"/>
      <c r="C595" s="66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29"/>
      <c r="B596" s="29"/>
      <c r="C596" s="66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29"/>
      <c r="B597" s="29"/>
      <c r="C597" s="66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29"/>
      <c r="B598" s="29"/>
      <c r="C598" s="66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29"/>
      <c r="B599" s="29"/>
      <c r="C599" s="66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29"/>
      <c r="B600" s="29"/>
      <c r="C600" s="66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29"/>
      <c r="B601" s="29"/>
      <c r="C601" s="66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29"/>
      <c r="B602" s="29"/>
      <c r="C602" s="66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29"/>
      <c r="B603" s="29"/>
      <c r="C603" s="66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29"/>
      <c r="B604" s="29"/>
      <c r="C604" s="66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29"/>
      <c r="B605" s="29"/>
      <c r="C605" s="66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29"/>
      <c r="B606" s="29"/>
      <c r="C606" s="66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29"/>
      <c r="B607" s="29"/>
      <c r="C607" s="66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29"/>
      <c r="B608" s="29"/>
      <c r="C608" s="66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29"/>
      <c r="B609" s="29"/>
      <c r="C609" s="66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29"/>
      <c r="B610" s="29"/>
      <c r="C610" s="66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29"/>
      <c r="B611" s="29"/>
      <c r="C611" s="66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29"/>
      <c r="B612" s="29"/>
      <c r="C612" s="66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29"/>
      <c r="B613" s="29"/>
      <c r="C613" s="66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29"/>
      <c r="B614" s="29"/>
      <c r="C614" s="66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29"/>
      <c r="B615" s="29"/>
      <c r="C615" s="66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29"/>
      <c r="B616" s="29"/>
      <c r="C616" s="66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29"/>
      <c r="B617" s="29"/>
      <c r="C617" s="66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29"/>
      <c r="B618" s="29"/>
      <c r="C618" s="66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29"/>
      <c r="B619" s="29"/>
      <c r="C619" s="66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29"/>
      <c r="B620" s="29"/>
      <c r="C620" s="66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29"/>
      <c r="B621" s="29"/>
      <c r="C621" s="66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29"/>
      <c r="B622" s="29"/>
      <c r="C622" s="66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29"/>
      <c r="B623" s="29"/>
      <c r="C623" s="66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29"/>
      <c r="B624" s="29"/>
      <c r="C624" s="66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29"/>
      <c r="B625" s="29"/>
      <c r="C625" s="66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29"/>
      <c r="B626" s="29"/>
      <c r="C626" s="66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29"/>
      <c r="B627" s="29"/>
      <c r="C627" s="66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29"/>
      <c r="B628" s="29"/>
      <c r="C628" s="66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29"/>
      <c r="B629" s="29"/>
      <c r="C629" s="66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29"/>
      <c r="B630" s="29"/>
      <c r="C630" s="66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29"/>
      <c r="B631" s="29"/>
      <c r="C631" s="66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29"/>
      <c r="B632" s="29"/>
      <c r="C632" s="66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29"/>
      <c r="B633" s="29"/>
      <c r="C633" s="66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29"/>
      <c r="B634" s="29"/>
      <c r="C634" s="66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29"/>
      <c r="B635" s="29"/>
      <c r="C635" s="66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29"/>
      <c r="B636" s="29"/>
      <c r="C636" s="66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29"/>
      <c r="B637" s="29"/>
      <c r="C637" s="66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29"/>
      <c r="B638" s="29"/>
      <c r="C638" s="66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29"/>
      <c r="B639" s="29"/>
      <c r="C639" s="66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29"/>
      <c r="B640" s="29"/>
      <c r="C640" s="66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29"/>
      <c r="B641" s="29"/>
      <c r="C641" s="66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29"/>
      <c r="B642" s="29"/>
      <c r="C642" s="66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29"/>
      <c r="B643" s="29"/>
      <c r="C643" s="66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29"/>
      <c r="B644" s="29"/>
      <c r="C644" s="66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29"/>
      <c r="B645" s="29"/>
      <c r="C645" s="66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29"/>
      <c r="B646" s="29"/>
      <c r="C646" s="66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29"/>
      <c r="B647" s="29"/>
      <c r="C647" s="66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29"/>
      <c r="B648" s="29"/>
      <c r="C648" s="66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29"/>
      <c r="B649" s="29"/>
      <c r="C649" s="66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29"/>
      <c r="B650" s="29"/>
      <c r="C650" s="66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29"/>
      <c r="B651" s="29"/>
      <c r="C651" s="66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29"/>
      <c r="B652" s="29"/>
      <c r="C652" s="66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29"/>
      <c r="B653" s="29"/>
      <c r="C653" s="66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29"/>
      <c r="B654" s="29"/>
      <c r="C654" s="66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29"/>
      <c r="B655" s="29"/>
      <c r="C655" s="66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29"/>
      <c r="B656" s="29"/>
      <c r="C656" s="66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29"/>
      <c r="B657" s="29"/>
      <c r="C657" s="66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29"/>
      <c r="B658" s="29"/>
      <c r="C658" s="66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29"/>
      <c r="B659" s="29"/>
      <c r="C659" s="66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29"/>
      <c r="B660" s="29"/>
      <c r="C660" s="66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29"/>
      <c r="B661" s="29"/>
      <c r="C661" s="66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29"/>
      <c r="B662" s="29"/>
      <c r="C662" s="66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29"/>
      <c r="B663" s="29"/>
      <c r="C663" s="66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29"/>
      <c r="B664" s="29"/>
      <c r="C664" s="66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29"/>
      <c r="B665" s="29"/>
      <c r="C665" s="66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29"/>
      <c r="B666" s="29"/>
      <c r="C666" s="66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29"/>
      <c r="B667" s="29"/>
      <c r="C667" s="66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29"/>
      <c r="B668" s="29"/>
      <c r="C668" s="66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29"/>
      <c r="B669" s="29"/>
      <c r="C669" s="66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29"/>
      <c r="B670" s="29"/>
      <c r="C670" s="66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29"/>
      <c r="B671" s="29"/>
      <c r="C671" s="66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29"/>
      <c r="B672" s="29"/>
      <c r="C672" s="66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29"/>
      <c r="B673" s="29"/>
      <c r="C673" s="66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29"/>
      <c r="B674" s="29"/>
      <c r="C674" s="66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29"/>
      <c r="B675" s="29"/>
      <c r="C675" s="66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29"/>
      <c r="B676" s="29"/>
      <c r="C676" s="66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29"/>
      <c r="B677" s="29"/>
      <c r="C677" s="66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29"/>
      <c r="B678" s="29"/>
      <c r="C678" s="66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29"/>
      <c r="B679" s="29"/>
      <c r="C679" s="66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29"/>
      <c r="B680" s="29"/>
      <c r="C680" s="66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29"/>
      <c r="B681" s="29"/>
      <c r="C681" s="66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29"/>
      <c r="B682" s="29"/>
      <c r="C682" s="66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29"/>
      <c r="B683" s="29"/>
      <c r="C683" s="66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29"/>
      <c r="B684" s="29"/>
      <c r="C684" s="66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29"/>
      <c r="B685" s="29"/>
      <c r="C685" s="66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29"/>
      <c r="B686" s="29"/>
      <c r="C686" s="66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29"/>
      <c r="B687" s="29"/>
      <c r="C687" s="66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29"/>
      <c r="B688" s="29"/>
      <c r="C688" s="66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29"/>
      <c r="B689" s="29"/>
      <c r="C689" s="66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29"/>
      <c r="B690" s="29"/>
      <c r="C690" s="66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29"/>
      <c r="B691" s="29"/>
      <c r="C691" s="66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29"/>
      <c r="B692" s="29"/>
      <c r="C692" s="66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29"/>
      <c r="B693" s="29"/>
      <c r="C693" s="66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29"/>
      <c r="B694" s="29"/>
      <c r="C694" s="66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29"/>
      <c r="B695" s="29"/>
      <c r="C695" s="66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29"/>
      <c r="B696" s="29"/>
      <c r="C696" s="66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29"/>
      <c r="B697" s="29"/>
      <c r="C697" s="66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29"/>
      <c r="B698" s="29"/>
      <c r="C698" s="66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29"/>
      <c r="B699" s="29"/>
      <c r="C699" s="66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29"/>
      <c r="B700" s="29"/>
      <c r="C700" s="66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29"/>
      <c r="B701" s="29"/>
      <c r="C701" s="66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29"/>
      <c r="B702" s="29"/>
      <c r="C702" s="66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29"/>
      <c r="B703" s="29"/>
      <c r="C703" s="66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29"/>
      <c r="B704" s="29"/>
      <c r="C704" s="66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29"/>
      <c r="B705" s="29"/>
      <c r="C705" s="66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29"/>
      <c r="B706" s="29"/>
      <c r="C706" s="66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29"/>
      <c r="B707" s="29"/>
      <c r="C707" s="66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29"/>
      <c r="B708" s="29"/>
      <c r="C708" s="66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29"/>
      <c r="B709" s="29"/>
      <c r="C709" s="66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29"/>
      <c r="B710" s="29"/>
      <c r="C710" s="66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29"/>
      <c r="B711" s="29"/>
      <c r="C711" s="66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29"/>
      <c r="B712" s="29"/>
      <c r="C712" s="66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29"/>
      <c r="B713" s="29"/>
      <c r="C713" s="66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29"/>
      <c r="B714" s="29"/>
      <c r="C714" s="66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29"/>
      <c r="B715" s="29"/>
      <c r="C715" s="66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29"/>
      <c r="B716" s="29"/>
      <c r="C716" s="66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29"/>
      <c r="B717" s="29"/>
      <c r="C717" s="66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29"/>
      <c r="B718" s="29"/>
      <c r="C718" s="66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29"/>
      <c r="B719" s="29"/>
      <c r="C719" s="66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29"/>
      <c r="B720" s="29"/>
      <c r="C720" s="66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29"/>
      <c r="B721" s="29"/>
      <c r="C721" s="66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29"/>
      <c r="B722" s="29"/>
      <c r="C722" s="66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29"/>
      <c r="B723" s="29"/>
      <c r="C723" s="66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29"/>
      <c r="B724" s="29"/>
      <c r="C724" s="66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29"/>
      <c r="B725" s="29"/>
      <c r="C725" s="66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29"/>
      <c r="B726" s="29"/>
      <c r="C726" s="66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29"/>
      <c r="B727" s="29"/>
      <c r="C727" s="66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29"/>
      <c r="B728" s="29"/>
      <c r="C728" s="66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29"/>
      <c r="B729" s="29"/>
      <c r="C729" s="66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29"/>
      <c r="B730" s="29"/>
      <c r="C730" s="66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29"/>
      <c r="B731" s="29"/>
      <c r="C731" s="66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29"/>
      <c r="B732" s="29"/>
      <c r="C732" s="66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29"/>
      <c r="B733" s="29"/>
      <c r="C733" s="66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29"/>
      <c r="B734" s="29"/>
      <c r="C734" s="66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29"/>
      <c r="B735" s="29"/>
      <c r="C735" s="66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29"/>
      <c r="B736" s="29"/>
      <c r="C736" s="66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29"/>
      <c r="B737" s="29"/>
      <c r="C737" s="66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29"/>
      <c r="B738" s="29"/>
      <c r="C738" s="66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29"/>
      <c r="B739" s="29"/>
      <c r="C739" s="66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29"/>
      <c r="B740" s="29"/>
      <c r="C740" s="66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29"/>
      <c r="B741" s="29"/>
      <c r="C741" s="66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29"/>
      <c r="B742" s="29"/>
      <c r="C742" s="66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29"/>
      <c r="B743" s="29"/>
      <c r="C743" s="66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29"/>
      <c r="B744" s="29"/>
      <c r="C744" s="66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29"/>
      <c r="B745" s="29"/>
      <c r="C745" s="66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29"/>
      <c r="B746" s="29"/>
      <c r="C746" s="66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29"/>
      <c r="B747" s="29"/>
      <c r="C747" s="66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29"/>
      <c r="B748" s="29"/>
      <c r="C748" s="66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29"/>
      <c r="B749" s="29"/>
      <c r="C749" s="66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29"/>
      <c r="B750" s="29"/>
      <c r="C750" s="66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29"/>
      <c r="B751" s="29"/>
      <c r="C751" s="66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29"/>
      <c r="B752" s="29"/>
      <c r="C752" s="66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29"/>
      <c r="B753" s="29"/>
      <c r="C753" s="66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29"/>
      <c r="B754" s="29"/>
      <c r="C754" s="66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29"/>
      <c r="B755" s="29"/>
      <c r="C755" s="66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29"/>
      <c r="B756" s="29"/>
      <c r="C756" s="66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29"/>
      <c r="B757" s="29"/>
      <c r="C757" s="66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29"/>
      <c r="B758" s="29"/>
      <c r="C758" s="66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29"/>
      <c r="B759" s="29"/>
      <c r="C759" s="66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29"/>
      <c r="B760" s="29"/>
      <c r="C760" s="66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29"/>
      <c r="B761" s="29"/>
      <c r="C761" s="66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29"/>
      <c r="B762" s="29"/>
      <c r="C762" s="66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29"/>
      <c r="B763" s="29"/>
      <c r="C763" s="66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29"/>
      <c r="B764" s="29"/>
      <c r="C764" s="66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29"/>
      <c r="B765" s="29"/>
      <c r="C765" s="66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29"/>
      <c r="B766" s="29"/>
      <c r="C766" s="66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29"/>
      <c r="B767" s="29"/>
      <c r="C767" s="66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29"/>
      <c r="B768" s="29"/>
      <c r="C768" s="66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29"/>
      <c r="B769" s="29"/>
      <c r="C769" s="66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29"/>
      <c r="B770" s="29"/>
      <c r="C770" s="66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29"/>
      <c r="B771" s="29"/>
      <c r="C771" s="66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29"/>
      <c r="B772" s="29"/>
      <c r="C772" s="66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29"/>
      <c r="B773" s="29"/>
      <c r="C773" s="66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29"/>
      <c r="B774" s="29"/>
      <c r="C774" s="66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29"/>
      <c r="B775" s="29"/>
      <c r="C775" s="66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29"/>
      <c r="B776" s="29"/>
      <c r="C776" s="66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29"/>
      <c r="B777" s="29"/>
      <c r="C777" s="66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29"/>
      <c r="B778" s="29"/>
      <c r="C778" s="66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29"/>
      <c r="B779" s="29"/>
      <c r="C779" s="66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29"/>
      <c r="B780" s="29"/>
      <c r="C780" s="66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29"/>
      <c r="B781" s="29"/>
      <c r="C781" s="66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29"/>
      <c r="B782" s="29"/>
      <c r="C782" s="66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29"/>
      <c r="B783" s="29"/>
      <c r="C783" s="66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29"/>
      <c r="B784" s="29"/>
      <c r="C784" s="66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29"/>
      <c r="B785" s="29"/>
      <c r="C785" s="66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29"/>
      <c r="B786" s="29"/>
      <c r="C786" s="66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29"/>
      <c r="B787" s="29"/>
      <c r="C787" s="66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29"/>
      <c r="B788" s="29"/>
      <c r="C788" s="66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29"/>
      <c r="B789" s="29"/>
      <c r="C789" s="66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29"/>
      <c r="B790" s="29"/>
      <c r="C790" s="66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29"/>
      <c r="B791" s="29"/>
      <c r="C791" s="66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29"/>
      <c r="B792" s="29"/>
      <c r="C792" s="66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29"/>
      <c r="B793" s="29"/>
      <c r="C793" s="66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29"/>
      <c r="B794" s="29"/>
      <c r="C794" s="66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29"/>
      <c r="B795" s="29"/>
      <c r="C795" s="66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29"/>
      <c r="B796" s="29"/>
      <c r="C796" s="66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29"/>
      <c r="B797" s="29"/>
      <c r="C797" s="66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29"/>
      <c r="B798" s="29"/>
      <c r="C798" s="66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29"/>
      <c r="B799" s="29"/>
      <c r="C799" s="66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29"/>
      <c r="B800" s="29"/>
      <c r="C800" s="66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29"/>
      <c r="B801" s="29"/>
      <c r="C801" s="66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29"/>
      <c r="B802" s="29"/>
      <c r="C802" s="66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29"/>
      <c r="B803" s="29"/>
      <c r="C803" s="66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29"/>
      <c r="B804" s="29"/>
      <c r="C804" s="66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29"/>
      <c r="B805" s="29"/>
      <c r="C805" s="66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29"/>
      <c r="B806" s="29"/>
      <c r="C806" s="66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29"/>
      <c r="B807" s="29"/>
      <c r="C807" s="66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29"/>
      <c r="B808" s="29"/>
      <c r="C808" s="66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29"/>
      <c r="B809" s="29"/>
      <c r="C809" s="66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29"/>
      <c r="B810" s="29"/>
      <c r="C810" s="66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29"/>
      <c r="B811" s="29"/>
      <c r="C811" s="66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29"/>
      <c r="B812" s="29"/>
      <c r="C812" s="66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29"/>
      <c r="B813" s="29"/>
      <c r="C813" s="66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29"/>
      <c r="B814" s="29"/>
      <c r="C814" s="66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29"/>
      <c r="B815" s="29"/>
      <c r="C815" s="66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29"/>
      <c r="B816" s="29"/>
      <c r="C816" s="66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29"/>
      <c r="B817" s="29"/>
      <c r="C817" s="66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29"/>
      <c r="B818" s="29"/>
      <c r="C818" s="66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29"/>
      <c r="B819" s="29"/>
      <c r="C819" s="66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29"/>
      <c r="B820" s="29"/>
      <c r="C820" s="66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29"/>
      <c r="B821" s="29"/>
      <c r="C821" s="66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29"/>
      <c r="B822" s="29"/>
      <c r="C822" s="66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29"/>
      <c r="B823" s="29"/>
      <c r="C823" s="66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29"/>
      <c r="B824" s="29"/>
      <c r="C824" s="66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29"/>
      <c r="B825" s="29"/>
      <c r="C825" s="66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29"/>
      <c r="B826" s="29"/>
      <c r="C826" s="66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29"/>
      <c r="B827" s="29"/>
      <c r="C827" s="66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29"/>
      <c r="B828" s="29"/>
      <c r="C828" s="66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29"/>
      <c r="B829" s="29"/>
      <c r="C829" s="66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29"/>
      <c r="B830" s="29"/>
      <c r="C830" s="66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29"/>
      <c r="B831" s="29"/>
      <c r="C831" s="66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29"/>
      <c r="B832" s="29"/>
      <c r="C832" s="66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29"/>
      <c r="B833" s="29"/>
      <c r="C833" s="66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29"/>
      <c r="B834" s="29"/>
      <c r="C834" s="66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29"/>
      <c r="B835" s="29"/>
      <c r="C835" s="66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29"/>
      <c r="B836" s="29"/>
      <c r="C836" s="66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29"/>
      <c r="B837" s="29"/>
      <c r="C837" s="66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29"/>
      <c r="B838" s="29"/>
      <c r="C838" s="66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29"/>
      <c r="B839" s="29"/>
      <c r="C839" s="66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29"/>
      <c r="B840" s="29"/>
      <c r="C840" s="66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29"/>
      <c r="B841" s="29"/>
      <c r="C841" s="66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29"/>
      <c r="B842" s="29"/>
      <c r="C842" s="66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29"/>
      <c r="B843" s="29"/>
      <c r="C843" s="66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29"/>
      <c r="B844" s="29"/>
      <c r="C844" s="66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29"/>
      <c r="B845" s="29"/>
      <c r="C845" s="66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29"/>
      <c r="B846" s="29"/>
      <c r="C846" s="66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29"/>
      <c r="B847" s="29"/>
      <c r="C847" s="66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29"/>
      <c r="B848" s="29"/>
      <c r="C848" s="66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29"/>
      <c r="B849" s="29"/>
      <c r="C849" s="66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29"/>
      <c r="B850" s="29"/>
      <c r="C850" s="66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29"/>
      <c r="B851" s="29"/>
      <c r="C851" s="66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29"/>
      <c r="B852" s="29"/>
      <c r="C852" s="66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29"/>
      <c r="B853" s="29"/>
      <c r="C853" s="66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29"/>
      <c r="B854" s="29"/>
      <c r="C854" s="66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29"/>
      <c r="B855" s="29"/>
      <c r="C855" s="66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29"/>
      <c r="B856" s="29"/>
      <c r="C856" s="66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29"/>
      <c r="B857" s="29"/>
      <c r="C857" s="66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29"/>
      <c r="B858" s="29"/>
      <c r="C858" s="66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29"/>
      <c r="B859" s="29"/>
      <c r="C859" s="66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29"/>
      <c r="B860" s="29"/>
      <c r="C860" s="66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29"/>
      <c r="B861" s="29"/>
      <c r="C861" s="66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29"/>
      <c r="B862" s="29"/>
      <c r="C862" s="66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29"/>
      <c r="B863" s="29"/>
      <c r="C863" s="66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29"/>
      <c r="B864" s="29"/>
      <c r="C864" s="66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29"/>
      <c r="B865" s="29"/>
      <c r="C865" s="66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29"/>
      <c r="B866" s="29"/>
      <c r="C866" s="66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29"/>
      <c r="B867" s="29"/>
      <c r="C867" s="66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29"/>
      <c r="B868" s="29"/>
      <c r="C868" s="66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29"/>
      <c r="B869" s="29"/>
      <c r="C869" s="66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29"/>
      <c r="B870" s="29"/>
      <c r="C870" s="66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29"/>
      <c r="B871" s="29"/>
      <c r="C871" s="66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29"/>
      <c r="B872" s="29"/>
      <c r="C872" s="66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29"/>
      <c r="B873" s="29"/>
      <c r="C873" s="66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29"/>
      <c r="B874" s="29"/>
      <c r="C874" s="66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29"/>
      <c r="B875" s="29"/>
      <c r="C875" s="66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29"/>
      <c r="B876" s="29"/>
      <c r="C876" s="66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29"/>
      <c r="B877" s="29"/>
      <c r="C877" s="66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29"/>
      <c r="B878" s="29"/>
      <c r="C878" s="66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29"/>
      <c r="B879" s="29"/>
      <c r="C879" s="66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29"/>
      <c r="B880" s="29"/>
      <c r="C880" s="66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29"/>
      <c r="B881" s="29"/>
      <c r="C881" s="66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29"/>
      <c r="B882" s="29"/>
      <c r="C882" s="66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29"/>
      <c r="B883" s="29"/>
      <c r="C883" s="66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29"/>
      <c r="B884" s="29"/>
      <c r="C884" s="66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29"/>
      <c r="B885" s="29"/>
      <c r="C885" s="66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29"/>
      <c r="B886" s="29"/>
      <c r="C886" s="66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29"/>
      <c r="B887" s="29"/>
      <c r="C887" s="66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29"/>
      <c r="B888" s="29"/>
      <c r="C888" s="66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29"/>
      <c r="B889" s="29"/>
      <c r="C889" s="66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29"/>
      <c r="B890" s="29"/>
      <c r="C890" s="66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29"/>
      <c r="B891" s="29"/>
      <c r="C891" s="66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29"/>
      <c r="B892" s="29"/>
      <c r="C892" s="66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29"/>
      <c r="B893" s="29"/>
      <c r="C893" s="66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29"/>
      <c r="B894" s="29"/>
      <c r="C894" s="66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29"/>
      <c r="B895" s="29"/>
      <c r="C895" s="66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29"/>
      <c r="B896" s="29"/>
      <c r="C896" s="66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29"/>
      <c r="B897" s="29"/>
      <c r="C897" s="66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29"/>
      <c r="B898" s="29"/>
      <c r="C898" s="66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29"/>
      <c r="B899" s="29"/>
      <c r="C899" s="66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29"/>
      <c r="B900" s="29"/>
      <c r="C900" s="66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29"/>
      <c r="B901" s="29"/>
      <c r="C901" s="66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29"/>
      <c r="B902" s="29"/>
      <c r="C902" s="66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29"/>
      <c r="B903" s="29"/>
      <c r="C903" s="66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29"/>
      <c r="B904" s="29"/>
      <c r="C904" s="66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29"/>
      <c r="B905" s="29"/>
      <c r="C905" s="66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29"/>
      <c r="B906" s="29"/>
      <c r="C906" s="66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29"/>
      <c r="B907" s="29"/>
      <c r="C907" s="66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29"/>
      <c r="B908" s="29"/>
      <c r="C908" s="66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29"/>
      <c r="B909" s="29"/>
      <c r="C909" s="66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29"/>
      <c r="B910" s="29"/>
      <c r="C910" s="66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29"/>
      <c r="B911" s="29"/>
      <c r="C911" s="66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29"/>
      <c r="B912" s="29"/>
      <c r="C912" s="66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29"/>
      <c r="B913" s="29"/>
      <c r="C913" s="66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29"/>
      <c r="B914" s="29"/>
      <c r="C914" s="66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29"/>
      <c r="B915" s="29"/>
      <c r="C915" s="66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29"/>
      <c r="B916" s="29"/>
      <c r="C916" s="66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29"/>
      <c r="B917" s="29"/>
      <c r="C917" s="66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29"/>
      <c r="B918" s="29"/>
      <c r="C918" s="66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29"/>
      <c r="B919" s="29"/>
      <c r="C919" s="66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29"/>
      <c r="B920" s="29"/>
      <c r="C920" s="66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29"/>
      <c r="B921" s="29"/>
      <c r="C921" s="66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29"/>
      <c r="B922" s="29"/>
      <c r="C922" s="66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29"/>
      <c r="B923" s="29"/>
      <c r="C923" s="66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29"/>
      <c r="B924" s="29"/>
      <c r="C924" s="66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29"/>
      <c r="B925" s="29"/>
      <c r="C925" s="66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29"/>
      <c r="B926" s="29"/>
      <c r="C926" s="66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29"/>
      <c r="B927" s="29"/>
      <c r="C927" s="66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29"/>
      <c r="B928" s="29"/>
      <c r="C928" s="66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29"/>
      <c r="B929" s="29"/>
      <c r="C929" s="66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29"/>
      <c r="B930" s="29"/>
      <c r="C930" s="66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29"/>
      <c r="B931" s="29"/>
      <c r="C931" s="66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29"/>
      <c r="B932" s="29"/>
      <c r="C932" s="66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29"/>
      <c r="B933" s="29"/>
      <c r="C933" s="66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29"/>
      <c r="B934" s="29"/>
      <c r="C934" s="66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29"/>
      <c r="B935" s="29"/>
      <c r="C935" s="66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29"/>
      <c r="B936" s="29"/>
      <c r="C936" s="66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29"/>
      <c r="B937" s="29"/>
      <c r="C937" s="66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29"/>
      <c r="B938" s="29"/>
      <c r="C938" s="66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29"/>
      <c r="B939" s="29"/>
      <c r="C939" s="66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29"/>
      <c r="B940" s="29"/>
      <c r="C940" s="66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29"/>
      <c r="B941" s="29"/>
      <c r="C941" s="66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29"/>
      <c r="B942" s="29"/>
      <c r="C942" s="66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29"/>
      <c r="B943" s="29"/>
      <c r="C943" s="66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29"/>
      <c r="B944" s="29"/>
      <c r="C944" s="66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29"/>
      <c r="B945" s="29"/>
      <c r="C945" s="66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29"/>
      <c r="B946" s="29"/>
      <c r="C946" s="66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29"/>
      <c r="B947" s="29"/>
      <c r="C947" s="66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29"/>
      <c r="B948" s="29"/>
      <c r="C948" s="66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29"/>
      <c r="B949" s="29"/>
      <c r="C949" s="66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29"/>
      <c r="B950" s="29"/>
      <c r="C950" s="66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29"/>
      <c r="B951" s="29"/>
      <c r="C951" s="66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29"/>
      <c r="B952" s="29"/>
      <c r="C952" s="66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29"/>
      <c r="B953" s="29"/>
      <c r="C953" s="66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29"/>
      <c r="B954" s="29"/>
      <c r="C954" s="66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29"/>
      <c r="B955" s="29"/>
      <c r="C955" s="66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29"/>
      <c r="B956" s="29"/>
      <c r="C956" s="66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29"/>
      <c r="B957" s="29"/>
      <c r="C957" s="66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29"/>
      <c r="B958" s="29"/>
      <c r="C958" s="66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29"/>
      <c r="B959" s="29"/>
      <c r="C959" s="66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29"/>
      <c r="B960" s="29"/>
      <c r="C960" s="66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29"/>
      <c r="B961" s="29"/>
      <c r="C961" s="66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29"/>
      <c r="B962" s="29"/>
      <c r="C962" s="66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29"/>
      <c r="B963" s="29"/>
      <c r="C963" s="66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29"/>
      <c r="B964" s="29"/>
      <c r="C964" s="66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29"/>
      <c r="B965" s="29"/>
      <c r="C965" s="66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29"/>
      <c r="B966" s="29"/>
      <c r="C966" s="66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29"/>
      <c r="B967" s="29"/>
      <c r="C967" s="66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29"/>
      <c r="B968" s="29"/>
      <c r="C968" s="66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29"/>
      <c r="B969" s="29"/>
      <c r="C969" s="66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29"/>
      <c r="B970" s="29"/>
      <c r="C970" s="66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29"/>
      <c r="B971" s="29"/>
      <c r="C971" s="66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29"/>
      <c r="B972" s="29"/>
      <c r="C972" s="66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29"/>
      <c r="B973" s="29"/>
      <c r="C973" s="66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29"/>
      <c r="B974" s="29"/>
      <c r="C974" s="66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29"/>
      <c r="B975" s="29"/>
      <c r="C975" s="66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29"/>
      <c r="B976" s="29"/>
      <c r="C976" s="66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29"/>
      <c r="B977" s="29"/>
      <c r="C977" s="66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29"/>
      <c r="B978" s="29"/>
      <c r="C978" s="66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29"/>
      <c r="B979" s="29"/>
      <c r="C979" s="66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29"/>
      <c r="B980" s="29"/>
      <c r="C980" s="66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29"/>
      <c r="B981" s="29"/>
      <c r="C981" s="66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29"/>
      <c r="B982" s="29"/>
      <c r="C982" s="66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29"/>
      <c r="B983" s="29"/>
      <c r="C983" s="66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29"/>
      <c r="B984" s="29"/>
      <c r="C984" s="66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29"/>
      <c r="B985" s="29"/>
      <c r="C985" s="66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29"/>
      <c r="B986" s="29"/>
      <c r="C986" s="66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29"/>
      <c r="B987" s="29"/>
      <c r="C987" s="66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29"/>
      <c r="B988" s="29"/>
      <c r="C988" s="66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29"/>
      <c r="B989" s="29"/>
      <c r="C989" s="66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29"/>
      <c r="B990" s="29"/>
      <c r="C990" s="66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29"/>
      <c r="B991" s="29"/>
      <c r="C991" s="66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29"/>
      <c r="B992" s="29"/>
      <c r="C992" s="66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29"/>
      <c r="B993" s="29"/>
      <c r="C993" s="66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29"/>
      <c r="B994" s="29"/>
      <c r="C994" s="66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29"/>
      <c r="B995" s="29"/>
      <c r="C995" s="66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29"/>
      <c r="B996" s="29"/>
      <c r="C996" s="66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29"/>
      <c r="B997" s="29"/>
      <c r="C997" s="66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29"/>
      <c r="B998" s="29"/>
      <c r="C998" s="66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29"/>
      <c r="B999" s="29"/>
      <c r="C999" s="66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29"/>
      <c r="B1000" s="29"/>
      <c r="C1000" s="66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  <row r="1001" ht="15.75" customHeight="1">
      <c r="A1001" s="29"/>
      <c r="B1001" s="29"/>
      <c r="C1001" s="66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  <c r="Z1001" s="176"/>
    </row>
    <row r="1002" ht="15.75" customHeight="1">
      <c r="A1002" s="29"/>
      <c r="B1002" s="29"/>
      <c r="C1002" s="66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  <c r="Z1002" s="176"/>
    </row>
    <row r="1003" ht="15.75" customHeight="1">
      <c r="A1003" s="29"/>
      <c r="B1003" s="29"/>
      <c r="C1003" s="66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  <c r="Z1003" s="176"/>
    </row>
    <row r="1004" ht="15.75" customHeight="1">
      <c r="A1004" s="29"/>
      <c r="B1004" s="29"/>
      <c r="C1004" s="66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  <c r="Z1004" s="176"/>
    </row>
    <row r="1005" ht="15.75" customHeight="1">
      <c r="A1005" s="29"/>
      <c r="B1005" s="29"/>
      <c r="C1005" s="66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  <c r="Z1005" s="176"/>
    </row>
    <row r="1006" ht="15.75" customHeight="1">
      <c r="A1006" s="29"/>
      <c r="B1006" s="29"/>
      <c r="C1006" s="66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  <c r="Z1006" s="176"/>
    </row>
    <row r="1007" ht="15.75" customHeight="1">
      <c r="A1007" s="29"/>
      <c r="B1007" s="29"/>
      <c r="C1007" s="66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  <c r="Z1007" s="176"/>
    </row>
    <row r="1008" ht="15.75" customHeight="1">
      <c r="A1008" s="29"/>
      <c r="B1008" s="29"/>
      <c r="C1008" s="66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  <c r="Z1008" s="176"/>
    </row>
    <row r="1009" ht="15.75" customHeight="1">
      <c r="A1009" s="29"/>
      <c r="B1009" s="29"/>
      <c r="C1009" s="66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  <c r="Z1009" s="176"/>
    </row>
    <row r="1010" ht="15.75" customHeight="1">
      <c r="A1010" s="29"/>
      <c r="B1010" s="29"/>
      <c r="C1010" s="66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176"/>
      <c r="O1010" s="176"/>
      <c r="P1010" s="176"/>
      <c r="Q1010" s="176"/>
      <c r="R1010" s="176"/>
      <c r="S1010" s="176"/>
      <c r="T1010" s="176"/>
      <c r="U1010" s="176"/>
      <c r="V1010" s="176"/>
      <c r="W1010" s="176"/>
      <c r="X1010" s="176"/>
      <c r="Y1010" s="176"/>
      <c r="Z1010" s="176"/>
    </row>
    <row r="1011" ht="15.75" customHeight="1">
      <c r="A1011" s="29"/>
      <c r="B1011" s="29"/>
      <c r="C1011" s="66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176"/>
      <c r="O1011" s="176"/>
      <c r="P1011" s="176"/>
      <c r="Q1011" s="176"/>
      <c r="R1011" s="176"/>
      <c r="S1011" s="176"/>
      <c r="T1011" s="176"/>
      <c r="U1011" s="176"/>
      <c r="V1011" s="176"/>
      <c r="W1011" s="176"/>
      <c r="X1011" s="176"/>
      <c r="Y1011" s="176"/>
      <c r="Z1011" s="176"/>
    </row>
    <row r="1012" ht="15.75" customHeight="1">
      <c r="A1012" s="29"/>
      <c r="B1012" s="29"/>
      <c r="C1012" s="66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176"/>
      <c r="O1012" s="176"/>
      <c r="P1012" s="176"/>
      <c r="Q1012" s="176"/>
      <c r="R1012" s="176"/>
      <c r="S1012" s="176"/>
      <c r="T1012" s="176"/>
      <c r="U1012" s="176"/>
      <c r="V1012" s="176"/>
      <c r="W1012" s="176"/>
      <c r="X1012" s="176"/>
      <c r="Y1012" s="176"/>
      <c r="Z1012" s="176"/>
    </row>
    <row r="1013" ht="15.75" customHeight="1">
      <c r="A1013" s="29"/>
      <c r="B1013" s="29"/>
      <c r="C1013" s="66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176"/>
      <c r="O1013" s="176"/>
      <c r="P1013" s="176"/>
      <c r="Q1013" s="176"/>
      <c r="R1013" s="176"/>
      <c r="S1013" s="176"/>
      <c r="T1013" s="176"/>
      <c r="U1013" s="176"/>
      <c r="V1013" s="176"/>
      <c r="W1013" s="176"/>
      <c r="X1013" s="176"/>
      <c r="Y1013" s="176"/>
      <c r="Z1013" s="176"/>
    </row>
    <row r="1014" ht="15.75" customHeight="1">
      <c r="A1014" s="29"/>
      <c r="B1014" s="29"/>
      <c r="C1014" s="66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176"/>
      <c r="O1014" s="176"/>
      <c r="P1014" s="176"/>
      <c r="Q1014" s="176"/>
      <c r="R1014" s="176"/>
      <c r="S1014" s="176"/>
      <c r="T1014" s="176"/>
      <c r="U1014" s="176"/>
      <c r="V1014" s="176"/>
      <c r="W1014" s="176"/>
      <c r="X1014" s="176"/>
      <c r="Y1014" s="176"/>
      <c r="Z1014" s="176"/>
    </row>
    <row r="1015" ht="15.75" customHeight="1">
      <c r="A1015" s="29"/>
      <c r="B1015" s="29"/>
      <c r="C1015" s="66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176"/>
      <c r="O1015" s="176"/>
      <c r="P1015" s="176"/>
      <c r="Q1015" s="176"/>
      <c r="R1015" s="176"/>
      <c r="S1015" s="176"/>
      <c r="T1015" s="176"/>
      <c r="U1015" s="176"/>
      <c r="V1015" s="176"/>
      <c r="W1015" s="176"/>
      <c r="X1015" s="176"/>
      <c r="Y1015" s="176"/>
      <c r="Z1015" s="176"/>
    </row>
    <row r="1016" ht="15.75" customHeight="1">
      <c r="A1016" s="29"/>
      <c r="B1016" s="29"/>
      <c r="C1016" s="66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176"/>
      <c r="O1016" s="176"/>
      <c r="P1016" s="176"/>
      <c r="Q1016" s="176"/>
      <c r="R1016" s="176"/>
      <c r="S1016" s="176"/>
      <c r="T1016" s="176"/>
      <c r="U1016" s="176"/>
      <c r="V1016" s="176"/>
      <c r="W1016" s="176"/>
      <c r="X1016" s="176"/>
      <c r="Y1016" s="176"/>
      <c r="Z1016" s="176"/>
    </row>
    <row r="1017" ht="15.75" customHeight="1">
      <c r="A1017" s="29"/>
      <c r="B1017" s="29"/>
      <c r="C1017" s="66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176"/>
      <c r="O1017" s="176"/>
      <c r="P1017" s="176"/>
      <c r="Q1017" s="176"/>
      <c r="R1017" s="176"/>
      <c r="S1017" s="176"/>
      <c r="T1017" s="176"/>
      <c r="U1017" s="176"/>
      <c r="V1017" s="176"/>
      <c r="W1017" s="176"/>
      <c r="X1017" s="176"/>
      <c r="Y1017" s="176"/>
      <c r="Z1017" s="176"/>
    </row>
    <row r="1018" ht="15.75" customHeight="1">
      <c r="A1018" s="29"/>
      <c r="B1018" s="29"/>
      <c r="C1018" s="66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176"/>
      <c r="O1018" s="176"/>
      <c r="P1018" s="176"/>
      <c r="Q1018" s="176"/>
      <c r="R1018" s="176"/>
      <c r="S1018" s="176"/>
      <c r="T1018" s="176"/>
      <c r="U1018" s="176"/>
      <c r="V1018" s="176"/>
      <c r="W1018" s="176"/>
      <c r="X1018" s="176"/>
      <c r="Y1018" s="176"/>
      <c r="Z1018" s="176"/>
    </row>
    <row r="1019" ht="15.75" customHeight="1">
      <c r="A1019" s="29"/>
      <c r="B1019" s="29"/>
      <c r="C1019" s="66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176"/>
      <c r="O1019" s="176"/>
      <c r="P1019" s="176"/>
      <c r="Q1019" s="176"/>
      <c r="R1019" s="176"/>
      <c r="S1019" s="176"/>
      <c r="T1019" s="176"/>
      <c r="U1019" s="176"/>
      <c r="V1019" s="176"/>
      <c r="W1019" s="176"/>
      <c r="X1019" s="176"/>
      <c r="Y1019" s="176"/>
      <c r="Z1019" s="176"/>
    </row>
    <row r="1020" ht="15.75" customHeight="1">
      <c r="A1020" s="29"/>
      <c r="B1020" s="29"/>
      <c r="C1020" s="66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176"/>
      <c r="O1020" s="176"/>
      <c r="P1020" s="176"/>
      <c r="Q1020" s="176"/>
      <c r="R1020" s="176"/>
      <c r="S1020" s="176"/>
      <c r="T1020" s="176"/>
      <c r="U1020" s="176"/>
      <c r="V1020" s="176"/>
      <c r="W1020" s="176"/>
      <c r="X1020" s="176"/>
      <c r="Y1020" s="176"/>
      <c r="Z1020" s="176"/>
    </row>
    <row r="1021" ht="15.75" customHeight="1">
      <c r="A1021" s="29"/>
      <c r="B1021" s="29"/>
      <c r="C1021" s="66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176"/>
      <c r="O1021" s="176"/>
      <c r="P1021" s="176"/>
      <c r="Q1021" s="176"/>
      <c r="R1021" s="176"/>
      <c r="S1021" s="176"/>
      <c r="T1021" s="176"/>
      <c r="U1021" s="176"/>
      <c r="V1021" s="176"/>
      <c r="W1021" s="176"/>
      <c r="X1021" s="176"/>
      <c r="Y1021" s="176"/>
      <c r="Z1021" s="176"/>
    </row>
    <row r="1022" ht="15.75" customHeight="1">
      <c r="A1022" s="29"/>
      <c r="B1022" s="29"/>
      <c r="C1022" s="66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176"/>
      <c r="O1022" s="176"/>
      <c r="P1022" s="176"/>
      <c r="Q1022" s="176"/>
      <c r="R1022" s="176"/>
      <c r="S1022" s="176"/>
      <c r="T1022" s="176"/>
      <c r="U1022" s="176"/>
      <c r="V1022" s="176"/>
      <c r="W1022" s="176"/>
      <c r="X1022" s="176"/>
      <c r="Y1022" s="176"/>
      <c r="Z1022" s="176"/>
    </row>
    <row r="1023" ht="15.75" customHeight="1">
      <c r="A1023" s="29"/>
      <c r="B1023" s="29"/>
      <c r="C1023" s="66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176"/>
      <c r="O1023" s="176"/>
      <c r="P1023" s="176"/>
      <c r="Q1023" s="176"/>
      <c r="R1023" s="176"/>
      <c r="S1023" s="176"/>
      <c r="T1023" s="176"/>
      <c r="U1023" s="176"/>
      <c r="V1023" s="176"/>
      <c r="W1023" s="176"/>
      <c r="X1023" s="176"/>
      <c r="Y1023" s="176"/>
      <c r="Z1023" s="176"/>
    </row>
    <row r="1024" ht="15.75" customHeight="1">
      <c r="A1024" s="29"/>
      <c r="B1024" s="29"/>
      <c r="C1024" s="66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176"/>
      <c r="O1024" s="176"/>
      <c r="P1024" s="176"/>
      <c r="Q1024" s="176"/>
      <c r="R1024" s="176"/>
      <c r="S1024" s="176"/>
      <c r="T1024" s="176"/>
      <c r="U1024" s="176"/>
      <c r="V1024" s="176"/>
      <c r="W1024" s="176"/>
      <c r="X1024" s="176"/>
      <c r="Y1024" s="176"/>
      <c r="Z1024" s="176"/>
    </row>
    <row r="1025" ht="15.75" customHeight="1">
      <c r="A1025" s="29"/>
      <c r="B1025" s="29"/>
      <c r="C1025" s="66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176"/>
      <c r="O1025" s="176"/>
      <c r="P1025" s="176"/>
      <c r="Q1025" s="176"/>
      <c r="R1025" s="176"/>
      <c r="S1025" s="176"/>
      <c r="T1025" s="176"/>
      <c r="U1025" s="176"/>
      <c r="V1025" s="176"/>
      <c r="W1025" s="176"/>
      <c r="X1025" s="176"/>
      <c r="Y1025" s="176"/>
      <c r="Z1025" s="176"/>
    </row>
    <row r="1026" ht="15.75" customHeight="1">
      <c r="A1026" s="29"/>
      <c r="B1026" s="29"/>
      <c r="C1026" s="66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176"/>
      <c r="O1026" s="176"/>
      <c r="P1026" s="176"/>
      <c r="Q1026" s="176"/>
      <c r="R1026" s="176"/>
      <c r="S1026" s="176"/>
      <c r="T1026" s="176"/>
      <c r="U1026" s="176"/>
      <c r="V1026" s="176"/>
      <c r="W1026" s="176"/>
      <c r="X1026" s="176"/>
      <c r="Y1026" s="176"/>
      <c r="Z1026" s="176"/>
    </row>
    <row r="1027" ht="15.75" customHeight="1">
      <c r="A1027" s="29"/>
      <c r="B1027" s="29"/>
      <c r="C1027" s="66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176"/>
      <c r="O1027" s="176"/>
      <c r="P1027" s="176"/>
      <c r="Q1027" s="176"/>
      <c r="R1027" s="176"/>
      <c r="S1027" s="176"/>
      <c r="T1027" s="176"/>
      <c r="U1027" s="176"/>
      <c r="V1027" s="176"/>
      <c r="W1027" s="176"/>
      <c r="X1027" s="176"/>
      <c r="Y1027" s="176"/>
      <c r="Z1027" s="176"/>
    </row>
    <row r="1028" ht="15.75" customHeight="1">
      <c r="A1028" s="29"/>
      <c r="B1028" s="29"/>
      <c r="C1028" s="66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176"/>
      <c r="O1028" s="176"/>
      <c r="P1028" s="176"/>
      <c r="Q1028" s="176"/>
      <c r="R1028" s="176"/>
      <c r="S1028" s="176"/>
      <c r="T1028" s="176"/>
      <c r="U1028" s="176"/>
      <c r="V1028" s="176"/>
      <c r="W1028" s="176"/>
      <c r="X1028" s="176"/>
      <c r="Y1028" s="176"/>
      <c r="Z1028" s="176"/>
    </row>
    <row r="1029" ht="15.75" customHeight="1">
      <c r="A1029" s="29"/>
      <c r="B1029" s="29"/>
      <c r="C1029" s="66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176"/>
      <c r="O1029" s="176"/>
      <c r="P1029" s="176"/>
      <c r="Q1029" s="176"/>
      <c r="R1029" s="176"/>
      <c r="S1029" s="176"/>
      <c r="T1029" s="176"/>
      <c r="U1029" s="176"/>
      <c r="V1029" s="176"/>
      <c r="W1029" s="176"/>
      <c r="X1029" s="176"/>
      <c r="Y1029" s="176"/>
      <c r="Z1029" s="176"/>
    </row>
    <row r="1030" ht="15.75" customHeight="1">
      <c r="A1030" s="29"/>
      <c r="B1030" s="29"/>
      <c r="C1030" s="66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176"/>
      <c r="O1030" s="176"/>
      <c r="P1030" s="176"/>
      <c r="Q1030" s="176"/>
      <c r="R1030" s="176"/>
      <c r="S1030" s="176"/>
      <c r="T1030" s="176"/>
      <c r="U1030" s="176"/>
      <c r="V1030" s="176"/>
      <c r="W1030" s="176"/>
      <c r="X1030" s="176"/>
      <c r="Y1030" s="176"/>
      <c r="Z1030" s="176"/>
    </row>
    <row r="1031" ht="15.75" customHeight="1">
      <c r="A1031" s="29"/>
      <c r="B1031" s="29"/>
      <c r="C1031" s="66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176"/>
      <c r="O1031" s="176"/>
      <c r="P1031" s="176"/>
      <c r="Q1031" s="176"/>
      <c r="R1031" s="176"/>
      <c r="S1031" s="176"/>
      <c r="T1031" s="176"/>
      <c r="U1031" s="176"/>
      <c r="V1031" s="176"/>
      <c r="W1031" s="176"/>
      <c r="X1031" s="176"/>
      <c r="Y1031" s="176"/>
      <c r="Z1031" s="176"/>
    </row>
    <row r="1032" ht="15.75" customHeight="1">
      <c r="A1032" s="29"/>
      <c r="B1032" s="29"/>
      <c r="C1032" s="66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176"/>
      <c r="O1032" s="176"/>
      <c r="P1032" s="176"/>
      <c r="Q1032" s="176"/>
      <c r="R1032" s="176"/>
      <c r="S1032" s="176"/>
      <c r="T1032" s="176"/>
      <c r="U1032" s="176"/>
      <c r="V1032" s="176"/>
      <c r="W1032" s="176"/>
      <c r="X1032" s="176"/>
      <c r="Y1032" s="176"/>
      <c r="Z1032" s="176"/>
    </row>
    <row r="1033" ht="15.75" customHeight="1">
      <c r="A1033" s="29"/>
      <c r="B1033" s="29"/>
      <c r="C1033" s="66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176"/>
      <c r="O1033" s="176"/>
      <c r="P1033" s="176"/>
      <c r="Q1033" s="176"/>
      <c r="R1033" s="176"/>
      <c r="S1033" s="176"/>
      <c r="T1033" s="176"/>
      <c r="U1033" s="176"/>
      <c r="V1033" s="176"/>
      <c r="W1033" s="176"/>
      <c r="X1033" s="176"/>
      <c r="Y1033" s="176"/>
      <c r="Z1033" s="176"/>
    </row>
    <row r="1034" ht="15.75" customHeight="1">
      <c r="A1034" s="29"/>
      <c r="B1034" s="29"/>
      <c r="C1034" s="66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176"/>
      <c r="O1034" s="176"/>
      <c r="P1034" s="176"/>
      <c r="Q1034" s="176"/>
      <c r="R1034" s="176"/>
      <c r="S1034" s="176"/>
      <c r="T1034" s="176"/>
      <c r="U1034" s="176"/>
      <c r="V1034" s="176"/>
      <c r="W1034" s="176"/>
      <c r="X1034" s="176"/>
      <c r="Y1034" s="176"/>
      <c r="Z1034" s="176"/>
    </row>
    <row r="1035" ht="15.75" customHeight="1">
      <c r="A1035" s="29"/>
      <c r="B1035" s="29"/>
      <c r="C1035" s="66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176"/>
      <c r="O1035" s="176"/>
      <c r="P1035" s="176"/>
      <c r="Q1035" s="176"/>
      <c r="R1035" s="176"/>
      <c r="S1035" s="176"/>
      <c r="T1035" s="176"/>
      <c r="U1035" s="176"/>
      <c r="V1035" s="176"/>
      <c r="W1035" s="176"/>
      <c r="X1035" s="176"/>
      <c r="Y1035" s="176"/>
      <c r="Z1035" s="176"/>
    </row>
    <row r="1036" ht="15.75" customHeight="1">
      <c r="A1036" s="29"/>
      <c r="B1036" s="29"/>
      <c r="C1036" s="66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176"/>
      <c r="O1036" s="176"/>
      <c r="P1036" s="176"/>
      <c r="Q1036" s="176"/>
      <c r="R1036" s="176"/>
      <c r="S1036" s="176"/>
      <c r="T1036" s="176"/>
      <c r="U1036" s="176"/>
      <c r="V1036" s="176"/>
      <c r="W1036" s="176"/>
      <c r="X1036" s="176"/>
      <c r="Y1036" s="176"/>
      <c r="Z1036" s="176"/>
    </row>
    <row r="1037" ht="15.75" customHeight="1">
      <c r="A1037" s="29"/>
      <c r="B1037" s="29"/>
      <c r="C1037" s="66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176"/>
      <c r="O1037" s="176"/>
      <c r="P1037" s="176"/>
      <c r="Q1037" s="176"/>
      <c r="R1037" s="176"/>
      <c r="S1037" s="176"/>
      <c r="T1037" s="176"/>
      <c r="U1037" s="176"/>
      <c r="V1037" s="176"/>
      <c r="W1037" s="176"/>
      <c r="X1037" s="176"/>
      <c r="Y1037" s="176"/>
      <c r="Z1037" s="176"/>
    </row>
    <row r="1038" ht="15.75" customHeight="1">
      <c r="A1038" s="29"/>
      <c r="B1038" s="29"/>
      <c r="C1038" s="66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176"/>
      <c r="O1038" s="176"/>
      <c r="P1038" s="176"/>
      <c r="Q1038" s="176"/>
      <c r="R1038" s="176"/>
      <c r="S1038" s="176"/>
      <c r="T1038" s="176"/>
      <c r="U1038" s="176"/>
      <c r="V1038" s="176"/>
      <c r="W1038" s="176"/>
      <c r="X1038" s="176"/>
      <c r="Y1038" s="176"/>
      <c r="Z1038" s="176"/>
    </row>
    <row r="1039" ht="15.75" customHeight="1">
      <c r="A1039" s="29"/>
      <c r="B1039" s="29"/>
      <c r="C1039" s="66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176"/>
      <c r="O1039" s="176"/>
      <c r="P1039" s="176"/>
      <c r="Q1039" s="176"/>
      <c r="R1039" s="176"/>
      <c r="S1039" s="176"/>
      <c r="T1039" s="176"/>
      <c r="U1039" s="176"/>
      <c r="V1039" s="176"/>
      <c r="W1039" s="176"/>
      <c r="X1039" s="176"/>
      <c r="Y1039" s="176"/>
      <c r="Z1039" s="176"/>
    </row>
    <row r="1040" ht="15.75" customHeight="1">
      <c r="A1040" s="29"/>
      <c r="B1040" s="29"/>
      <c r="C1040" s="66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176"/>
      <c r="O1040" s="176"/>
      <c r="P1040" s="176"/>
      <c r="Q1040" s="176"/>
      <c r="R1040" s="176"/>
      <c r="S1040" s="176"/>
      <c r="T1040" s="176"/>
      <c r="U1040" s="176"/>
      <c r="V1040" s="176"/>
      <c r="W1040" s="176"/>
      <c r="X1040" s="176"/>
      <c r="Y1040" s="176"/>
      <c r="Z1040" s="176"/>
    </row>
    <row r="1041" ht="15.75" customHeight="1">
      <c r="A1041" s="29"/>
      <c r="B1041" s="29"/>
      <c r="C1041" s="66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176"/>
      <c r="O1041" s="176"/>
      <c r="P1041" s="176"/>
      <c r="Q1041" s="176"/>
      <c r="R1041" s="176"/>
      <c r="S1041" s="176"/>
      <c r="T1041" s="176"/>
      <c r="U1041" s="176"/>
      <c r="V1041" s="176"/>
      <c r="W1041" s="176"/>
      <c r="X1041" s="176"/>
      <c r="Y1041" s="176"/>
      <c r="Z1041" s="176"/>
    </row>
  </sheetData>
  <mergeCells count="6">
    <mergeCell ref="C1:I1"/>
    <mergeCell ref="J3:L3"/>
    <mergeCell ref="H11:I11"/>
    <mergeCell ref="H12:I12"/>
    <mergeCell ref="H13:I13"/>
    <mergeCell ref="C15:I15"/>
  </mergeCells>
  <dataValidations>
    <dataValidation type="list" allowBlank="1" showErrorMessage="1" sqref="H19:H21">
      <formula1>$F$23:$F$24</formula1>
    </dataValidation>
    <dataValidation type="list" allowBlank="1" showErrorMessage="1" sqref="E28">
      <formula1>$G$4:$G$9</formula1>
    </dataValidation>
    <dataValidation type="list" allowBlank="1" showErrorMessage="1" sqref="H125:H157 H166:H184">
      <formula1>$F$186:$F$187</formula1>
    </dataValidation>
    <dataValidation type="list" allowBlank="1" showErrorMessage="1" sqref="H191:H196">
      <formula1>$F$198:$F$199</formula1>
    </dataValidation>
    <dataValidation type="list" allowBlank="1" showErrorMessage="1" sqref="H96:H97">
      <formula1>$F$99:$F$100</formula1>
    </dataValidation>
    <dataValidation type="list" allowBlank="1" showErrorMessage="1" sqref="H110 H119 I196">
      <formula1>שולםעי</formula1>
    </dataValidation>
    <dataValidation type="list" allowBlank="1" showErrorMessage="1" sqref="H86:H89">
      <formula1>$F$91:$F$92</formula1>
    </dataValidation>
    <dataValidation type="list" allowBlank="1" showErrorMessage="1" sqref="E19:E21 E29:E79 E86:E89 E96:E97 E104:E109 E116:E118 E125:E157 E166:E184 E191:E195 F196">
      <formula1>$G$4:$G$9</formula1>
    </dataValidation>
    <dataValidation type="list" allowBlank="1" showErrorMessage="1" sqref="H28:H79">
      <formula1>$F$81:$F$82</formula1>
    </dataValidation>
    <dataValidation type="list" allowBlank="1" showErrorMessage="1" sqref="H104:H109 H116:H118">
      <formula1>$F$111:$F$112</formula1>
    </dataValidation>
  </dataValidations>
  <printOptions/>
  <pageMargins bottom="0.75" footer="0.0" header="0.0" left="0.7" right="0.7" top="0.75"/>
  <pageSetup paperSize="5" orientation="portrait"/>
  <rowBreaks count="1" manualBreakCount="1">
    <brk id="122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5.57"/>
    <col customWidth="1" min="3" max="3" width="13.14"/>
    <col customWidth="1" min="4" max="4" width="13.57"/>
    <col customWidth="1" min="5" max="5" width="53.14"/>
    <col customWidth="1" min="6" max="6" width="25.86"/>
    <col customWidth="1" min="7" max="8" width="12.57"/>
    <col customWidth="1" min="9" max="9" width="7.57"/>
    <col customWidth="1" min="10" max="10" width="8.0"/>
    <col customWidth="1" min="11" max="11" width="80.86"/>
    <col customWidth="1" min="12" max="12" width="16.14"/>
    <col customWidth="1" min="13" max="26" width="8.71"/>
  </cols>
  <sheetData>
    <row r="1" ht="37.5" customHeight="1">
      <c r="A1" s="177" t="s">
        <v>64</v>
      </c>
      <c r="B1" s="178" t="s">
        <v>65</v>
      </c>
      <c r="C1" s="179" t="s">
        <v>66</v>
      </c>
      <c r="D1" s="180" t="s">
        <v>67</v>
      </c>
      <c r="E1" s="180" t="s">
        <v>68</v>
      </c>
      <c r="F1" s="180" t="s">
        <v>69</v>
      </c>
      <c r="G1" s="179" t="s">
        <v>70</v>
      </c>
      <c r="H1" s="179" t="s">
        <v>71</v>
      </c>
      <c r="I1" s="180" t="s">
        <v>72</v>
      </c>
      <c r="J1" s="180" t="s">
        <v>73</v>
      </c>
      <c r="K1" s="178" t="s">
        <v>74</v>
      </c>
      <c r="L1" s="181" t="s">
        <v>49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7.5" customHeight="1">
      <c r="A2" s="182">
        <v>46105.0</v>
      </c>
      <c r="B2" s="183" t="s">
        <v>20</v>
      </c>
      <c r="C2" s="184">
        <v>434.0</v>
      </c>
      <c r="D2" s="185" t="s">
        <v>34</v>
      </c>
      <c r="E2" s="185" t="s">
        <v>75</v>
      </c>
      <c r="F2" s="186" t="s">
        <v>53</v>
      </c>
      <c r="G2" s="179"/>
      <c r="H2" s="179"/>
      <c r="I2" s="180"/>
      <c r="J2" s="187" t="s">
        <v>76</v>
      </c>
      <c r="K2" s="178"/>
      <c r="L2" s="188" t="str">
        <f>HYPERLINK("https://drive.google.com/file/d/1adgbLjfOdnyEzlwc2hTAArNNei2L3ZIH/view?usp=drivesdk","קבלה")</f>
        <v>קבלה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7.5" customHeight="1">
      <c r="A3" s="182">
        <v>45379.0</v>
      </c>
      <c r="B3" s="183" t="s">
        <v>15</v>
      </c>
      <c r="C3" s="184">
        <v>48.0</v>
      </c>
      <c r="D3" s="185" t="s">
        <v>36</v>
      </c>
      <c r="E3" s="185" t="s">
        <v>77</v>
      </c>
      <c r="F3" s="186" t="s">
        <v>53</v>
      </c>
      <c r="G3" s="179"/>
      <c r="H3" s="179"/>
      <c r="I3" s="180"/>
      <c r="J3" s="187" t="s">
        <v>78</v>
      </c>
      <c r="K3" s="178"/>
      <c r="L3" s="188" t="str">
        <f>HYPERLINK("https://drive.google.com/file/d/1p9D-Ts-Rq4oIypvl8MPNM5bdBIYWiAj-/view?usp=drivesdk","קבלה")</f>
        <v>קבלה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7.5" customHeight="1">
      <c r="A4" s="182">
        <v>46108.0</v>
      </c>
      <c r="B4" s="183" t="s">
        <v>20</v>
      </c>
      <c r="C4" s="184">
        <v>15.9</v>
      </c>
      <c r="D4" s="185" t="s">
        <v>36</v>
      </c>
      <c r="E4" s="185" t="s">
        <v>79</v>
      </c>
      <c r="F4" s="186" t="s">
        <v>53</v>
      </c>
      <c r="G4" s="179"/>
      <c r="H4" s="179"/>
      <c r="I4" s="180"/>
      <c r="J4" s="187" t="s">
        <v>80</v>
      </c>
      <c r="K4" s="178"/>
      <c r="L4" s="188" t="str">
        <f>HYPERLINK("https://drive.google.com/file/d/1sVHrneZaeaoV4BVhTd2XtP0xGD_NFBZi/view?usp=drivesdk","קבלה")</f>
        <v>קבלה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7.5" customHeight="1">
      <c r="A5" s="182">
        <v>46132.0</v>
      </c>
      <c r="B5" s="183" t="s">
        <v>20</v>
      </c>
      <c r="C5" s="184">
        <v>680.9</v>
      </c>
      <c r="D5" s="185" t="s">
        <v>34</v>
      </c>
      <c r="E5" s="185" t="s">
        <v>81</v>
      </c>
      <c r="F5" s="186" t="s">
        <v>53</v>
      </c>
      <c r="G5" s="179"/>
      <c r="H5" s="179"/>
      <c r="I5" s="180"/>
      <c r="J5" s="187" t="s">
        <v>82</v>
      </c>
      <c r="K5" s="178"/>
      <c r="L5" s="188" t="str">
        <f>HYPERLINK("https://drive.google.com/file/d/1jHLu4JBhozeGPpIBob6GbR06Fu13P0Te/view?usp=drivesdk","קבלה")</f>
        <v>קבלה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7.5" customHeight="1">
      <c r="A6" s="182">
        <v>45408.0</v>
      </c>
      <c r="B6" s="183" t="s">
        <v>14</v>
      </c>
      <c r="C6" s="184">
        <v>339.0</v>
      </c>
      <c r="D6" s="185" t="s">
        <v>33</v>
      </c>
      <c r="E6" s="185" t="s">
        <v>83</v>
      </c>
      <c r="F6" s="186" t="s">
        <v>53</v>
      </c>
      <c r="G6" s="179"/>
      <c r="H6" s="179"/>
      <c r="I6" s="180"/>
      <c r="J6" s="187" t="s">
        <v>84</v>
      </c>
      <c r="K6" s="178"/>
      <c r="L6" s="188" t="str">
        <f>HYPERLINK("https://drive.google.com/file/d/1rCEMZOXZPqkBNyrctDHArxYFLnHHWJW7/view?usp=drivesdk","קבלה")</f>
        <v>קבלה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7.5" customHeight="1">
      <c r="A7" s="182"/>
      <c r="B7" s="183"/>
      <c r="C7" s="189"/>
      <c r="D7" s="185"/>
      <c r="E7" s="186"/>
      <c r="F7" s="185"/>
      <c r="G7" s="179"/>
      <c r="H7" s="189"/>
      <c r="I7" s="180"/>
      <c r="J7" s="180"/>
      <c r="K7" s="190"/>
      <c r="L7" s="18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7.5" customHeight="1">
      <c r="A8" s="182"/>
      <c r="B8" s="183"/>
      <c r="C8" s="189"/>
      <c r="D8" s="185"/>
      <c r="E8" s="186"/>
      <c r="F8" s="185"/>
      <c r="G8" s="179"/>
      <c r="H8" s="189"/>
      <c r="I8" s="180"/>
      <c r="J8" s="180"/>
      <c r="K8" s="190"/>
      <c r="L8" s="18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7.5" customHeight="1">
      <c r="A9" s="182"/>
      <c r="B9" s="183"/>
      <c r="C9" s="189"/>
      <c r="D9" s="185"/>
      <c r="E9" s="186"/>
      <c r="F9" s="185"/>
      <c r="G9" s="179"/>
      <c r="H9" s="189"/>
      <c r="I9" s="180"/>
      <c r="J9" s="180"/>
      <c r="K9" s="190"/>
      <c r="L9" s="18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7.5" customHeight="1">
      <c r="A10" s="182"/>
      <c r="B10" s="183"/>
      <c r="C10" s="189"/>
      <c r="D10" s="185"/>
      <c r="E10" s="185"/>
      <c r="F10" s="185"/>
      <c r="G10" s="189"/>
      <c r="H10" s="189"/>
      <c r="I10" s="180"/>
      <c r="J10" s="180"/>
      <c r="K10" s="190"/>
      <c r="L10" s="18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7.5" customHeight="1">
      <c r="A11" s="182"/>
      <c r="B11" s="183"/>
      <c r="C11" s="189"/>
      <c r="D11" s="185"/>
      <c r="E11" s="185"/>
      <c r="F11" s="185"/>
      <c r="G11" s="189"/>
      <c r="H11" s="189"/>
      <c r="I11" s="180"/>
      <c r="J11" s="180"/>
      <c r="K11" s="190"/>
      <c r="L11" s="18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7.5" customHeight="1">
      <c r="A12" s="182"/>
      <c r="B12" s="183"/>
      <c r="C12" s="189"/>
      <c r="D12" s="185"/>
      <c r="E12" s="185"/>
      <c r="F12" s="185"/>
      <c r="G12" s="189"/>
      <c r="H12" s="189"/>
      <c r="I12" s="180"/>
      <c r="J12" s="180"/>
      <c r="K12" s="183"/>
      <c r="L12" s="18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7.5" customHeight="1">
      <c r="A13" s="182"/>
      <c r="B13" s="183"/>
      <c r="C13" s="189"/>
      <c r="D13" s="185"/>
      <c r="E13" s="185"/>
      <c r="F13" s="185"/>
      <c r="G13" s="189"/>
      <c r="H13" s="189"/>
      <c r="I13" s="180"/>
      <c r="J13" s="180"/>
      <c r="K13" s="190"/>
      <c r="L13" s="18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7.5" customHeight="1">
      <c r="A14" s="182"/>
      <c r="B14" s="183"/>
      <c r="C14" s="189"/>
      <c r="D14" s="185"/>
      <c r="E14" s="185"/>
      <c r="F14" s="185"/>
      <c r="G14" s="189"/>
      <c r="H14" s="189"/>
      <c r="I14" s="180"/>
      <c r="J14" s="180"/>
      <c r="K14" s="190"/>
      <c r="L14" s="18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7.5" customHeight="1">
      <c r="A15" s="182"/>
      <c r="B15" s="183"/>
      <c r="C15" s="189"/>
      <c r="D15" s="185"/>
      <c r="E15" s="185"/>
      <c r="F15" s="185"/>
      <c r="G15" s="189"/>
      <c r="H15" s="189"/>
      <c r="I15" s="180"/>
      <c r="J15" s="180"/>
      <c r="K15" s="190"/>
      <c r="L15" s="18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7.5" customHeight="1">
      <c r="A16" s="182"/>
      <c r="B16" s="183"/>
      <c r="C16" s="189"/>
      <c r="D16" s="185"/>
      <c r="E16" s="185"/>
      <c r="F16" s="185"/>
      <c r="G16" s="189"/>
      <c r="H16" s="189"/>
      <c r="I16" s="180"/>
      <c r="J16" s="180"/>
      <c r="K16" s="190"/>
      <c r="L16" s="18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7.5" customHeight="1">
      <c r="A17" s="182"/>
      <c r="B17" s="183"/>
      <c r="C17" s="189"/>
      <c r="D17" s="185"/>
      <c r="E17" s="185"/>
      <c r="F17" s="185"/>
      <c r="G17" s="189"/>
      <c r="H17" s="189"/>
      <c r="I17" s="180"/>
      <c r="J17" s="180"/>
      <c r="K17" s="190"/>
      <c r="L17" s="18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7.5" customHeight="1">
      <c r="A18" s="182"/>
      <c r="B18" s="183"/>
      <c r="C18" s="189"/>
      <c r="D18" s="185"/>
      <c r="E18" s="185"/>
      <c r="F18" s="185"/>
      <c r="G18" s="189"/>
      <c r="H18" s="189"/>
      <c r="I18" s="180"/>
      <c r="J18" s="180"/>
      <c r="K18" s="190"/>
      <c r="L18" s="18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7.5" customHeight="1">
      <c r="A19" s="182"/>
      <c r="B19" s="183"/>
      <c r="C19" s="189"/>
      <c r="D19" s="185"/>
      <c r="E19" s="185"/>
      <c r="F19" s="185"/>
      <c r="G19" s="189"/>
      <c r="H19" s="189"/>
      <c r="I19" s="180"/>
      <c r="J19" s="180"/>
      <c r="K19" s="190"/>
      <c r="L19" s="18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7.5" customHeight="1">
      <c r="A20" s="182"/>
      <c r="B20" s="183"/>
      <c r="C20" s="189"/>
      <c r="D20" s="185"/>
      <c r="E20" s="185"/>
      <c r="F20" s="185"/>
      <c r="G20" s="189"/>
      <c r="H20" s="189"/>
      <c r="I20" s="180"/>
      <c r="J20" s="180"/>
      <c r="K20" s="190"/>
      <c r="L20" s="18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7.5" customHeight="1">
      <c r="A21" s="182"/>
      <c r="B21" s="183"/>
      <c r="C21" s="189"/>
      <c r="D21" s="185"/>
      <c r="E21" s="185"/>
      <c r="F21" s="185"/>
      <c r="G21" s="189"/>
      <c r="H21" s="189"/>
      <c r="I21" s="180"/>
      <c r="J21" s="180"/>
      <c r="K21" s="190"/>
      <c r="L21" s="18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7.5" customHeight="1">
      <c r="A22" s="182"/>
      <c r="B22" s="183"/>
      <c r="C22" s="189"/>
      <c r="D22" s="185"/>
      <c r="E22" s="185"/>
      <c r="F22" s="185"/>
      <c r="G22" s="189"/>
      <c r="H22" s="189"/>
      <c r="I22" s="180"/>
      <c r="J22" s="180"/>
      <c r="K22" s="190"/>
      <c r="L22" s="18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7.5" customHeight="1">
      <c r="A23" s="182"/>
      <c r="B23" s="183"/>
      <c r="C23" s="189"/>
      <c r="D23" s="185"/>
      <c r="E23" s="185"/>
      <c r="F23" s="185"/>
      <c r="G23" s="189"/>
      <c r="H23" s="189"/>
      <c r="I23" s="180"/>
      <c r="J23" s="180"/>
      <c r="K23" s="190"/>
      <c r="L23" s="18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7.5" customHeight="1">
      <c r="A24" s="182"/>
      <c r="B24" s="183"/>
      <c r="C24" s="189"/>
      <c r="D24" s="185"/>
      <c r="E24" s="185"/>
      <c r="F24" s="185"/>
      <c r="G24" s="189"/>
      <c r="H24" s="189"/>
      <c r="I24" s="180"/>
      <c r="J24" s="180"/>
      <c r="K24" s="190"/>
      <c r="L24" s="18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7.5" customHeight="1">
      <c r="A25" s="182"/>
      <c r="B25" s="183"/>
      <c r="C25" s="189"/>
      <c r="D25" s="185"/>
      <c r="E25" s="185"/>
      <c r="F25" s="185"/>
      <c r="G25" s="189"/>
      <c r="H25" s="189"/>
      <c r="I25" s="180"/>
      <c r="J25" s="180"/>
      <c r="K25" s="190"/>
      <c r="L25" s="18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7.5" customHeight="1">
      <c r="A26" s="182"/>
      <c r="B26" s="183"/>
      <c r="C26" s="189"/>
      <c r="D26" s="185"/>
      <c r="E26" s="185"/>
      <c r="F26" s="185"/>
      <c r="G26" s="189"/>
      <c r="H26" s="189"/>
      <c r="I26" s="180"/>
      <c r="J26" s="180"/>
      <c r="K26" s="190"/>
      <c r="L26" s="18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7.5" customHeight="1">
      <c r="A27" s="182"/>
      <c r="B27" s="183"/>
      <c r="C27" s="189"/>
      <c r="D27" s="185"/>
      <c r="E27" s="185"/>
      <c r="F27" s="185"/>
      <c r="G27" s="189"/>
      <c r="H27" s="189"/>
      <c r="I27" s="180"/>
      <c r="J27" s="180"/>
      <c r="K27" s="190"/>
      <c r="L27" s="181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7.5" customHeight="1">
      <c r="A28" s="182"/>
      <c r="B28" s="183"/>
      <c r="C28" s="189"/>
      <c r="D28" s="185"/>
      <c r="E28" s="185"/>
      <c r="F28" s="185"/>
      <c r="G28" s="189"/>
      <c r="H28" s="189"/>
      <c r="I28" s="180"/>
      <c r="J28" s="180"/>
      <c r="K28" s="190"/>
      <c r="L28" s="181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7.5" customHeight="1">
      <c r="A29" s="182"/>
      <c r="B29" s="183"/>
      <c r="C29" s="189"/>
      <c r="D29" s="185"/>
      <c r="E29" s="185"/>
      <c r="F29" s="185"/>
      <c r="G29" s="189"/>
      <c r="H29" s="189"/>
      <c r="I29" s="180"/>
      <c r="J29" s="180"/>
      <c r="K29" s="190"/>
      <c r="L29" s="181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7.5" customHeight="1">
      <c r="A30" s="182"/>
      <c r="B30" s="183"/>
      <c r="C30" s="189"/>
      <c r="D30" s="185"/>
      <c r="E30" s="185"/>
      <c r="F30" s="185"/>
      <c r="G30" s="189"/>
      <c r="H30" s="189"/>
      <c r="I30" s="180"/>
      <c r="J30" s="180"/>
      <c r="K30" s="190"/>
      <c r="L30" s="181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7.5" customHeight="1">
      <c r="A31" s="182"/>
      <c r="B31" s="183"/>
      <c r="C31" s="189"/>
      <c r="D31" s="185"/>
      <c r="E31" s="185"/>
      <c r="F31" s="185"/>
      <c r="G31" s="189"/>
      <c r="H31" s="189"/>
      <c r="I31" s="180"/>
      <c r="J31" s="180"/>
      <c r="K31" s="190"/>
      <c r="L31" s="18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7.5" customHeight="1">
      <c r="A32" s="182"/>
      <c r="B32" s="183"/>
      <c r="C32" s="189"/>
      <c r="D32" s="185"/>
      <c r="E32" s="185"/>
      <c r="F32" s="185"/>
      <c r="G32" s="189"/>
      <c r="H32" s="189"/>
      <c r="I32" s="185"/>
      <c r="J32" s="180"/>
      <c r="K32" s="183"/>
      <c r="L32" s="18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7.5" customHeight="1">
      <c r="A33" s="182"/>
      <c r="B33" s="183"/>
      <c r="C33" s="189"/>
      <c r="D33" s="185"/>
      <c r="E33" s="185"/>
      <c r="F33" s="185"/>
      <c r="G33" s="189"/>
      <c r="H33" s="189"/>
      <c r="I33" s="180"/>
      <c r="J33" s="180"/>
      <c r="K33" s="190"/>
      <c r="L33" s="18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7.5" customHeight="1">
      <c r="A34" s="182"/>
      <c r="B34" s="183"/>
      <c r="C34" s="189"/>
      <c r="D34" s="185"/>
      <c r="E34" s="185"/>
      <c r="F34" s="185"/>
      <c r="G34" s="189"/>
      <c r="H34" s="189"/>
      <c r="I34" s="180"/>
      <c r="J34" s="180"/>
      <c r="K34" s="190"/>
      <c r="L34" s="18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7.5" customHeight="1">
      <c r="A35" s="182"/>
      <c r="B35" s="183"/>
      <c r="C35" s="189"/>
      <c r="D35" s="185"/>
      <c r="E35" s="185"/>
      <c r="F35" s="185"/>
      <c r="G35" s="189"/>
      <c r="H35" s="189"/>
      <c r="I35" s="180"/>
      <c r="J35" s="180"/>
      <c r="K35" s="190"/>
      <c r="L35" s="181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7.5" customHeight="1">
      <c r="A36" s="182"/>
      <c r="B36" s="183"/>
      <c r="C36" s="189"/>
      <c r="D36" s="185"/>
      <c r="E36" s="185"/>
      <c r="F36" s="185"/>
      <c r="G36" s="189"/>
      <c r="H36" s="189"/>
      <c r="I36" s="180"/>
      <c r="J36" s="180"/>
      <c r="K36" s="190"/>
      <c r="L36" s="181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7.5" customHeight="1">
      <c r="A37" s="182"/>
      <c r="B37" s="183"/>
      <c r="C37" s="189"/>
      <c r="D37" s="185"/>
      <c r="E37" s="185"/>
      <c r="F37" s="185"/>
      <c r="G37" s="189"/>
      <c r="H37" s="189"/>
      <c r="I37" s="180"/>
      <c r="J37" s="180"/>
      <c r="K37" s="190"/>
      <c r="L37" s="181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0.0" customHeight="1">
      <c r="A38" s="191"/>
      <c r="B38" s="192"/>
      <c r="C38" s="193"/>
      <c r="D38" s="194"/>
      <c r="E38" s="195"/>
      <c r="F38" s="194"/>
      <c r="G38" s="196"/>
      <c r="H38" s="197"/>
      <c r="I38" s="196"/>
      <c r="J38" s="196"/>
      <c r="K38" s="194"/>
      <c r="L38" s="198"/>
    </row>
    <row r="39" ht="30.0" customHeight="1">
      <c r="A39" s="191"/>
      <c r="B39" s="192"/>
      <c r="C39" s="199"/>
      <c r="D39" s="194"/>
      <c r="E39" s="195"/>
      <c r="F39" s="194"/>
      <c r="G39" s="196"/>
      <c r="H39" s="197"/>
      <c r="I39" s="196"/>
      <c r="J39" s="196"/>
      <c r="K39" s="194"/>
      <c r="L39" s="196"/>
    </row>
    <row r="40" ht="30.0" customHeight="1">
      <c r="A40" s="200"/>
      <c r="B40" s="192"/>
      <c r="C40" s="201"/>
      <c r="D40" s="194"/>
      <c r="E40" s="195"/>
      <c r="F40" s="194"/>
      <c r="G40" s="196"/>
      <c r="H40" s="197"/>
      <c r="I40" s="196"/>
      <c r="J40" s="196"/>
      <c r="K40" s="202"/>
      <c r="L40" s="198"/>
    </row>
    <row r="41" ht="30.0" customHeight="1">
      <c r="A41" s="200"/>
      <c r="B41" s="192"/>
      <c r="C41" s="201"/>
      <c r="D41" s="194"/>
      <c r="E41" s="195"/>
      <c r="F41" s="194"/>
      <c r="G41" s="198"/>
      <c r="H41" s="203"/>
      <c r="I41" s="204"/>
      <c r="J41" s="204"/>
      <c r="K41" s="202"/>
      <c r="L41" s="198"/>
    </row>
    <row r="42" ht="30.0" customHeight="1">
      <c r="A42" s="205"/>
      <c r="B42" s="206"/>
      <c r="C42" s="203"/>
      <c r="D42" s="207"/>
      <c r="E42" s="207"/>
      <c r="F42" s="207"/>
      <c r="G42" s="198"/>
      <c r="H42" s="207"/>
      <c r="I42" s="204"/>
      <c r="J42" s="204"/>
      <c r="K42" s="208"/>
      <c r="L42" s="198"/>
    </row>
    <row r="43" ht="30.0" customHeight="1">
      <c r="A43" s="205"/>
      <c r="B43" s="206"/>
      <c r="C43" s="203"/>
      <c r="D43" s="207"/>
      <c r="E43" s="207"/>
      <c r="F43" s="207"/>
      <c r="G43" s="198"/>
      <c r="H43" s="207"/>
      <c r="I43" s="204"/>
      <c r="J43" s="204"/>
      <c r="K43" s="208"/>
      <c r="L43" s="198"/>
    </row>
    <row r="44" ht="30.0" customHeight="1">
      <c r="A44" s="209"/>
      <c r="B44" s="202"/>
      <c r="C44" s="198"/>
      <c r="D44" s="204"/>
      <c r="E44" s="204"/>
      <c r="F44" s="204"/>
      <c r="G44" s="198"/>
      <c r="H44" s="198"/>
      <c r="I44" s="204"/>
      <c r="J44" s="204"/>
      <c r="K44" s="202"/>
      <c r="L44" s="198"/>
    </row>
    <row r="45" ht="30.0" customHeight="1">
      <c r="A45" s="209"/>
      <c r="B45" s="202"/>
      <c r="C45" s="198"/>
      <c r="D45" s="204"/>
      <c r="E45" s="204"/>
      <c r="F45" s="204"/>
      <c r="G45" s="198"/>
      <c r="H45" s="198"/>
      <c r="I45" s="204"/>
      <c r="J45" s="204"/>
      <c r="K45" s="202"/>
      <c r="L45" s="198"/>
    </row>
    <row r="46" ht="30.0" customHeight="1">
      <c r="A46" s="209"/>
      <c r="B46" s="202"/>
      <c r="C46" s="198"/>
      <c r="D46" s="204"/>
      <c r="E46" s="204"/>
      <c r="F46" s="204"/>
      <c r="G46" s="204"/>
      <c r="H46" s="204"/>
      <c r="I46" s="204"/>
      <c r="J46" s="204"/>
      <c r="K46" s="202"/>
      <c r="L46" s="198"/>
    </row>
    <row r="47" ht="30.0" customHeight="1">
      <c r="A47" s="209"/>
      <c r="B47" s="202"/>
      <c r="C47" s="198"/>
      <c r="D47" s="204"/>
      <c r="E47" s="204"/>
      <c r="F47" s="204"/>
      <c r="G47" s="204"/>
      <c r="H47" s="204"/>
      <c r="I47" s="204"/>
      <c r="J47" s="204"/>
      <c r="K47" s="202"/>
      <c r="L47" s="198"/>
    </row>
    <row r="48" ht="30.0" customHeight="1">
      <c r="A48" s="209"/>
      <c r="B48" s="202"/>
      <c r="C48" s="198"/>
      <c r="D48" s="204"/>
      <c r="E48" s="204"/>
      <c r="F48" s="204"/>
      <c r="G48" s="204"/>
      <c r="H48" s="204"/>
      <c r="I48" s="204"/>
      <c r="J48" s="204"/>
      <c r="K48" s="202"/>
      <c r="L48" s="198"/>
    </row>
    <row r="49" ht="30.0" customHeight="1">
      <c r="A49" s="209"/>
      <c r="B49" s="202"/>
      <c r="C49" s="198"/>
      <c r="D49" s="204"/>
      <c r="E49" s="204"/>
      <c r="F49" s="204"/>
      <c r="G49" s="198"/>
      <c r="H49" s="198"/>
      <c r="I49" s="204"/>
      <c r="J49" s="204"/>
      <c r="K49" s="202"/>
      <c r="L49" s="198"/>
    </row>
    <row r="50" ht="30.0" customHeight="1">
      <c r="A50" s="209"/>
      <c r="B50" s="202"/>
      <c r="C50" s="198"/>
      <c r="D50" s="204"/>
      <c r="E50" s="204"/>
      <c r="F50" s="204"/>
      <c r="G50" s="198"/>
      <c r="H50" s="198"/>
      <c r="I50" s="204"/>
      <c r="J50" s="204"/>
      <c r="K50" s="202"/>
      <c r="L50" s="198"/>
    </row>
    <row r="51" ht="30.0" customHeight="1">
      <c r="A51" s="209"/>
      <c r="B51" s="202"/>
      <c r="C51" s="198"/>
      <c r="D51" s="204"/>
      <c r="E51" s="204"/>
      <c r="F51" s="204"/>
      <c r="G51" s="198"/>
      <c r="H51" s="198"/>
      <c r="I51" s="204"/>
      <c r="J51" s="204"/>
      <c r="K51" s="202"/>
      <c r="L51" s="198"/>
    </row>
    <row r="52" ht="30.0" customHeight="1">
      <c r="A52" s="209"/>
      <c r="B52" s="202"/>
      <c r="C52" s="198"/>
      <c r="D52" s="204"/>
      <c r="E52" s="204"/>
      <c r="F52" s="204"/>
      <c r="G52" s="198"/>
      <c r="H52" s="198"/>
      <c r="I52" s="204"/>
      <c r="J52" s="204"/>
      <c r="K52" s="202"/>
      <c r="L52" s="198"/>
    </row>
    <row r="53" ht="30.0" customHeight="1">
      <c r="A53" s="209"/>
      <c r="B53" s="202"/>
      <c r="C53" s="198"/>
      <c r="D53" s="204"/>
      <c r="E53" s="204"/>
      <c r="F53" s="204"/>
      <c r="G53" s="198"/>
      <c r="H53" s="198"/>
      <c r="I53" s="204"/>
      <c r="J53" s="204"/>
      <c r="K53" s="202"/>
      <c r="L53" s="198"/>
    </row>
    <row r="54" ht="30.0" customHeight="1">
      <c r="A54" s="209"/>
      <c r="B54" s="202"/>
      <c r="C54" s="198"/>
      <c r="D54" s="204"/>
      <c r="E54" s="204"/>
      <c r="F54" s="204"/>
      <c r="G54" s="198"/>
      <c r="H54" s="198"/>
      <c r="I54" s="204"/>
      <c r="J54" s="204"/>
      <c r="K54" s="202"/>
      <c r="L54" s="198"/>
    </row>
    <row r="55" ht="30.0" customHeight="1">
      <c r="A55" s="209"/>
      <c r="B55" s="202"/>
      <c r="C55" s="198"/>
      <c r="D55" s="204"/>
      <c r="E55" s="204"/>
      <c r="F55" s="204"/>
      <c r="G55" s="198"/>
      <c r="H55" s="198"/>
      <c r="I55" s="204"/>
      <c r="J55" s="204"/>
      <c r="K55" s="202"/>
      <c r="L55" s="198"/>
    </row>
    <row r="56" ht="30.0" customHeight="1">
      <c r="A56" s="209"/>
      <c r="B56" s="202"/>
      <c r="C56" s="198"/>
      <c r="D56" s="204"/>
      <c r="E56" s="204"/>
      <c r="F56" s="204"/>
      <c r="G56" s="198"/>
      <c r="H56" s="204"/>
      <c r="I56" s="204"/>
      <c r="J56" s="204"/>
      <c r="K56" s="202"/>
      <c r="L56" s="198"/>
    </row>
    <row r="57" ht="30.0" customHeight="1">
      <c r="A57" s="209"/>
      <c r="B57" s="202"/>
      <c r="C57" s="198"/>
      <c r="D57" s="204"/>
      <c r="E57" s="204"/>
      <c r="F57" s="204"/>
      <c r="G57" s="198"/>
      <c r="H57" s="198"/>
      <c r="I57" s="204"/>
      <c r="J57" s="204"/>
      <c r="K57" s="202"/>
      <c r="L57" s="198"/>
    </row>
    <row r="58" ht="30.0" customHeight="1">
      <c r="A58" s="209"/>
      <c r="B58" s="202"/>
      <c r="C58" s="198"/>
      <c r="D58" s="204"/>
      <c r="E58" s="204"/>
      <c r="F58" s="204"/>
      <c r="G58" s="198"/>
      <c r="H58" s="198"/>
      <c r="I58" s="204"/>
      <c r="J58" s="204"/>
      <c r="K58" s="202"/>
      <c r="L58" s="198"/>
    </row>
    <row r="59" ht="30.0" customHeight="1">
      <c r="A59" s="209"/>
      <c r="B59" s="202"/>
      <c r="C59" s="198"/>
      <c r="D59" s="204"/>
      <c r="E59" s="204"/>
      <c r="F59" s="204"/>
      <c r="G59" s="198"/>
      <c r="H59" s="198"/>
      <c r="I59" s="204"/>
      <c r="J59" s="204"/>
      <c r="K59" s="202"/>
      <c r="L59" s="198"/>
    </row>
    <row r="60" ht="30.0" customHeight="1">
      <c r="A60" s="209"/>
      <c r="B60" s="202"/>
      <c r="C60" s="198"/>
      <c r="D60" s="204"/>
      <c r="E60" s="204"/>
      <c r="F60" s="204"/>
      <c r="G60" s="198"/>
      <c r="H60" s="198"/>
      <c r="I60" s="204"/>
      <c r="J60" s="204"/>
      <c r="K60" s="202"/>
      <c r="L60" s="198"/>
    </row>
    <row r="61" ht="30.0" customHeight="1">
      <c r="A61" s="209"/>
      <c r="B61" s="202"/>
      <c r="C61" s="198"/>
      <c r="D61" s="204"/>
      <c r="E61" s="204"/>
      <c r="F61" s="204"/>
      <c r="G61" s="198"/>
      <c r="H61" s="198"/>
      <c r="I61" s="204"/>
      <c r="J61" s="204"/>
      <c r="K61" s="202"/>
      <c r="L61" s="198"/>
    </row>
    <row r="62" ht="30.0" customHeight="1">
      <c r="A62" s="209"/>
      <c r="B62" s="202"/>
      <c r="C62" s="198"/>
      <c r="D62" s="204"/>
      <c r="E62" s="204"/>
      <c r="F62" s="204"/>
      <c r="G62" s="198"/>
      <c r="H62" s="198"/>
      <c r="I62" s="204"/>
      <c r="J62" s="204"/>
      <c r="K62" s="202"/>
      <c r="L62" s="198"/>
    </row>
    <row r="63" ht="30.0" customHeight="1">
      <c r="A63" s="209"/>
      <c r="B63" s="202"/>
      <c r="C63" s="198"/>
      <c r="D63" s="204"/>
      <c r="E63" s="204"/>
      <c r="F63" s="204"/>
      <c r="G63" s="204"/>
      <c r="H63" s="204"/>
      <c r="I63" s="204"/>
      <c r="J63" s="204"/>
      <c r="K63" s="202"/>
      <c r="L63" s="198"/>
    </row>
    <row r="64" ht="30.0" customHeight="1">
      <c r="A64" s="209"/>
      <c r="B64" s="202"/>
      <c r="C64" s="198"/>
      <c r="D64" s="204"/>
      <c r="E64" s="204"/>
      <c r="F64" s="204"/>
      <c r="G64" s="198"/>
      <c r="H64" s="198"/>
      <c r="I64" s="204"/>
      <c r="J64" s="204"/>
      <c r="K64" s="202"/>
      <c r="L64" s="198"/>
    </row>
    <row r="65" ht="30.0" customHeight="1">
      <c r="A65" s="209"/>
      <c r="B65" s="202"/>
      <c r="C65" s="198"/>
      <c r="D65" s="204"/>
      <c r="E65" s="204"/>
      <c r="F65" s="204"/>
      <c r="G65" s="198"/>
      <c r="H65" s="198"/>
      <c r="I65" s="204"/>
      <c r="J65" s="204"/>
      <c r="K65" s="202"/>
      <c r="L65" s="198"/>
    </row>
    <row r="66" ht="30.0" customHeight="1">
      <c r="A66" s="209"/>
      <c r="B66" s="202"/>
      <c r="C66" s="198"/>
      <c r="D66" s="204"/>
      <c r="E66" s="204"/>
      <c r="F66" s="204"/>
      <c r="G66" s="204"/>
      <c r="H66" s="204"/>
      <c r="I66" s="204"/>
      <c r="J66" s="204"/>
      <c r="K66" s="202"/>
      <c r="L66" s="198"/>
    </row>
    <row r="67" ht="30.0" customHeight="1">
      <c r="A67" s="209"/>
      <c r="B67" s="202"/>
      <c r="C67" s="198"/>
      <c r="D67" s="204"/>
      <c r="E67" s="204"/>
      <c r="F67" s="204"/>
      <c r="G67" s="198"/>
      <c r="H67" s="198"/>
      <c r="I67" s="204"/>
      <c r="J67" s="204"/>
      <c r="K67" s="202"/>
      <c r="L67" s="198"/>
    </row>
    <row r="68" ht="30.0" customHeight="1">
      <c r="A68" s="209"/>
      <c r="B68" s="202"/>
      <c r="C68" s="198"/>
      <c r="D68" s="204"/>
      <c r="E68" s="204"/>
      <c r="F68" s="204"/>
      <c r="G68" s="198"/>
      <c r="H68" s="198"/>
      <c r="I68" s="204"/>
      <c r="J68" s="204"/>
      <c r="K68" s="202"/>
      <c r="L68" s="198"/>
    </row>
    <row r="69" ht="30.0" customHeight="1">
      <c r="A69" s="210"/>
      <c r="B69" s="211"/>
      <c r="C69" s="212"/>
      <c r="D69" s="213"/>
      <c r="E69" s="213"/>
      <c r="F69" s="213"/>
      <c r="G69" s="212"/>
      <c r="H69" s="212"/>
      <c r="I69" s="213"/>
      <c r="J69" s="213"/>
      <c r="K69" s="211"/>
      <c r="L69" s="212"/>
    </row>
    <row r="70" ht="30.0" customHeight="1">
      <c r="A70" s="210"/>
      <c r="B70" s="211"/>
      <c r="C70" s="212"/>
      <c r="D70" s="213"/>
      <c r="E70" s="213"/>
      <c r="F70" s="213"/>
      <c r="G70" s="212"/>
      <c r="H70" s="212"/>
      <c r="I70" s="213"/>
      <c r="J70" s="213"/>
      <c r="K70" s="211"/>
      <c r="L70" s="212"/>
    </row>
    <row r="71" ht="14.25" customHeight="1">
      <c r="A71" s="214"/>
      <c r="B71" s="215"/>
      <c r="C71" s="216"/>
      <c r="D71" s="216"/>
      <c r="E71" s="216"/>
      <c r="F71" s="216"/>
      <c r="G71" s="216"/>
      <c r="H71" s="216"/>
      <c r="I71" s="216"/>
      <c r="J71" s="216"/>
      <c r="K71" s="215"/>
      <c r="L71" s="216"/>
    </row>
    <row r="72" ht="14.25" customHeight="1">
      <c r="A72" s="214"/>
      <c r="B72" s="215"/>
      <c r="C72" s="216"/>
      <c r="D72" s="216"/>
      <c r="E72" s="216"/>
      <c r="F72" s="216"/>
      <c r="G72" s="216"/>
      <c r="H72" s="216"/>
      <c r="I72" s="216"/>
      <c r="J72" s="216"/>
      <c r="K72" s="215"/>
      <c r="L72" s="216"/>
    </row>
    <row r="73" ht="14.25" customHeight="1">
      <c r="A73" s="214"/>
      <c r="B73" s="215"/>
      <c r="C73" s="216"/>
      <c r="D73" s="216"/>
      <c r="E73" s="216"/>
      <c r="F73" s="216"/>
      <c r="G73" s="216"/>
      <c r="H73" s="216"/>
      <c r="I73" s="216"/>
      <c r="J73" s="216"/>
      <c r="K73" s="215"/>
      <c r="L73" s="216"/>
    </row>
    <row r="74" ht="14.25" customHeight="1">
      <c r="A74" s="214"/>
      <c r="B74" s="215"/>
      <c r="C74" s="216"/>
      <c r="D74" s="216"/>
      <c r="E74" s="216"/>
      <c r="F74" s="216"/>
      <c r="G74" s="216"/>
      <c r="H74" s="216"/>
      <c r="I74" s="216"/>
      <c r="J74" s="216"/>
      <c r="K74" s="215"/>
      <c r="L74" s="216"/>
    </row>
    <row r="75" ht="14.25" customHeight="1">
      <c r="A75" s="214"/>
      <c r="B75" s="215"/>
      <c r="C75" s="216"/>
      <c r="D75" s="216"/>
      <c r="E75" s="216"/>
      <c r="F75" s="216"/>
      <c r="G75" s="216"/>
      <c r="H75" s="216"/>
      <c r="I75" s="216"/>
      <c r="J75" s="216"/>
      <c r="K75" s="215"/>
      <c r="L75" s="216"/>
    </row>
    <row r="76" ht="14.25" customHeight="1">
      <c r="A76" s="214"/>
      <c r="B76" s="215"/>
      <c r="C76" s="216"/>
      <c r="D76" s="216"/>
      <c r="E76" s="216"/>
      <c r="F76" s="216"/>
      <c r="G76" s="216"/>
      <c r="H76" s="216"/>
      <c r="I76" s="216"/>
      <c r="J76" s="216"/>
      <c r="K76" s="215"/>
      <c r="L76" s="216"/>
    </row>
    <row r="77" ht="14.25" customHeight="1">
      <c r="A77" s="214"/>
      <c r="B77" s="215"/>
      <c r="C77" s="216"/>
      <c r="D77" s="216"/>
      <c r="E77" s="216"/>
      <c r="F77" s="216"/>
      <c r="G77" s="216"/>
      <c r="H77" s="216"/>
      <c r="I77" s="216"/>
      <c r="J77" s="216"/>
      <c r="K77" s="215"/>
      <c r="L77" s="216"/>
    </row>
    <row r="78" ht="14.25" customHeight="1">
      <c r="A78" s="214"/>
      <c r="B78" s="215"/>
      <c r="C78" s="216"/>
      <c r="D78" s="216"/>
      <c r="E78" s="216"/>
      <c r="F78" s="216"/>
      <c r="G78" s="216"/>
      <c r="H78" s="216"/>
      <c r="I78" s="216"/>
      <c r="J78" s="216"/>
      <c r="K78" s="215"/>
      <c r="L78" s="216"/>
    </row>
    <row r="79" ht="14.25" customHeight="1">
      <c r="A79" s="214"/>
      <c r="B79" s="215"/>
      <c r="C79" s="216"/>
      <c r="D79" s="216"/>
      <c r="E79" s="216"/>
      <c r="F79" s="216"/>
      <c r="G79" s="216"/>
      <c r="H79" s="216"/>
      <c r="I79" s="216"/>
      <c r="J79" s="216"/>
      <c r="K79" s="215"/>
      <c r="L79" s="216"/>
    </row>
    <row r="80" ht="14.25" customHeight="1">
      <c r="A80" s="214"/>
      <c r="B80" s="215"/>
      <c r="C80" s="216"/>
      <c r="D80" s="216"/>
      <c r="E80" s="216"/>
      <c r="F80" s="216"/>
      <c r="G80" s="216"/>
      <c r="H80" s="216"/>
      <c r="I80" s="216"/>
      <c r="J80" s="216"/>
      <c r="K80" s="215"/>
      <c r="L80" s="216"/>
    </row>
    <row r="81" ht="14.25" customHeight="1">
      <c r="A81" s="214"/>
      <c r="B81" s="215"/>
      <c r="C81" s="216"/>
      <c r="D81" s="216"/>
      <c r="E81" s="216"/>
      <c r="F81" s="216"/>
      <c r="G81" s="216"/>
      <c r="H81" s="216"/>
      <c r="I81" s="216"/>
      <c r="J81" s="216"/>
      <c r="K81" s="215"/>
      <c r="L81" s="216"/>
    </row>
    <row r="82" ht="14.25" customHeight="1">
      <c r="A82" s="214"/>
      <c r="B82" s="215"/>
      <c r="C82" s="216"/>
      <c r="D82" s="216"/>
      <c r="E82" s="216"/>
      <c r="F82" s="216"/>
      <c r="G82" s="216"/>
      <c r="H82" s="216"/>
      <c r="I82" s="216"/>
      <c r="J82" s="216"/>
      <c r="K82" s="215"/>
      <c r="L82" s="216"/>
    </row>
    <row r="83" ht="14.25" customHeight="1">
      <c r="A83" s="214"/>
      <c r="B83" s="215"/>
      <c r="C83" s="216"/>
      <c r="D83" s="216"/>
      <c r="E83" s="216"/>
      <c r="F83" s="216"/>
      <c r="G83" s="216"/>
      <c r="H83" s="216"/>
      <c r="I83" s="216"/>
      <c r="J83" s="216"/>
      <c r="K83" s="215"/>
      <c r="L83" s="216"/>
    </row>
    <row r="84" ht="14.25" customHeight="1">
      <c r="A84" s="214"/>
      <c r="B84" s="215"/>
      <c r="C84" s="216"/>
      <c r="D84" s="216"/>
      <c r="E84" s="216"/>
      <c r="F84" s="216"/>
      <c r="G84" s="216"/>
      <c r="H84" s="216"/>
      <c r="I84" s="216"/>
      <c r="J84" s="216"/>
      <c r="K84" s="215"/>
      <c r="L84" s="216"/>
    </row>
    <row r="85" ht="14.25" customHeight="1">
      <c r="A85" s="214"/>
      <c r="B85" s="215"/>
      <c r="C85" s="216"/>
      <c r="D85" s="216"/>
      <c r="E85" s="216"/>
      <c r="F85" s="216"/>
      <c r="G85" s="216"/>
      <c r="H85" s="216"/>
      <c r="I85" s="216"/>
      <c r="J85" s="216"/>
      <c r="K85" s="215"/>
      <c r="L85" s="216"/>
    </row>
    <row r="86" ht="14.25" customHeight="1">
      <c r="A86" s="214"/>
      <c r="B86" s="215"/>
      <c r="C86" s="216"/>
      <c r="D86" s="216"/>
      <c r="E86" s="216"/>
      <c r="F86" s="216"/>
      <c r="G86" s="216"/>
      <c r="H86" s="216"/>
      <c r="I86" s="216"/>
      <c r="J86" s="216"/>
      <c r="K86" s="215"/>
      <c r="L86" s="216"/>
    </row>
    <row r="87" ht="14.25" customHeight="1">
      <c r="A87" s="214"/>
      <c r="B87" s="215"/>
      <c r="C87" s="216"/>
      <c r="D87" s="216"/>
      <c r="E87" s="216"/>
      <c r="F87" s="216"/>
      <c r="G87" s="216"/>
      <c r="H87" s="216"/>
      <c r="I87" s="216"/>
      <c r="J87" s="216"/>
      <c r="K87" s="215"/>
      <c r="L87" s="216"/>
    </row>
    <row r="88" ht="14.25" customHeight="1">
      <c r="A88" s="214"/>
      <c r="B88" s="215"/>
      <c r="C88" s="216"/>
      <c r="D88" s="216"/>
      <c r="E88" s="216"/>
      <c r="F88" s="216"/>
      <c r="G88" s="216"/>
      <c r="H88" s="216"/>
      <c r="I88" s="216"/>
      <c r="J88" s="216"/>
      <c r="K88" s="215"/>
      <c r="L88" s="216"/>
    </row>
    <row r="89" ht="14.25" customHeight="1">
      <c r="A89" s="214"/>
      <c r="B89" s="215"/>
      <c r="C89" s="216"/>
      <c r="D89" s="216"/>
      <c r="E89" s="216"/>
      <c r="F89" s="216"/>
      <c r="G89" s="216"/>
      <c r="H89" s="216"/>
      <c r="I89" s="216"/>
      <c r="J89" s="216"/>
      <c r="K89" s="215"/>
      <c r="L89" s="216"/>
    </row>
    <row r="90" ht="14.25" customHeight="1">
      <c r="A90" s="214"/>
      <c r="B90" s="215"/>
      <c r="C90" s="216"/>
      <c r="D90" s="216"/>
      <c r="E90" s="216"/>
      <c r="F90" s="216"/>
      <c r="G90" s="216"/>
      <c r="H90" s="216"/>
      <c r="I90" s="216"/>
      <c r="J90" s="216"/>
      <c r="K90" s="215"/>
      <c r="L90" s="216"/>
    </row>
    <row r="91" ht="14.25" customHeight="1">
      <c r="A91" s="214"/>
      <c r="B91" s="215"/>
      <c r="C91" s="216"/>
      <c r="D91" s="216"/>
      <c r="E91" s="216"/>
      <c r="F91" s="216"/>
      <c r="G91" s="216"/>
      <c r="H91" s="216"/>
      <c r="I91" s="216"/>
      <c r="J91" s="216"/>
      <c r="K91" s="215"/>
      <c r="L91" s="216"/>
    </row>
    <row r="92" ht="14.25" customHeight="1">
      <c r="A92" s="214"/>
      <c r="B92" s="215"/>
      <c r="C92" s="216"/>
      <c r="D92" s="216"/>
      <c r="E92" s="216"/>
      <c r="F92" s="216"/>
      <c r="G92" s="216"/>
      <c r="H92" s="216"/>
      <c r="I92" s="216"/>
      <c r="J92" s="216"/>
      <c r="K92" s="215"/>
      <c r="L92" s="216"/>
    </row>
    <row r="93" ht="14.25" customHeight="1">
      <c r="A93" s="214"/>
      <c r="B93" s="215"/>
      <c r="C93" s="216"/>
      <c r="D93" s="216"/>
      <c r="E93" s="216"/>
      <c r="F93" s="216"/>
      <c r="G93" s="216"/>
      <c r="H93" s="216"/>
      <c r="I93" s="216"/>
      <c r="J93" s="216"/>
      <c r="K93" s="215"/>
      <c r="L93" s="216"/>
    </row>
    <row r="94" ht="14.25" customHeight="1">
      <c r="A94" s="214"/>
      <c r="B94" s="215"/>
      <c r="C94" s="216"/>
      <c r="D94" s="216"/>
      <c r="E94" s="216"/>
      <c r="F94" s="216"/>
      <c r="G94" s="216"/>
      <c r="H94" s="216"/>
      <c r="I94" s="216"/>
      <c r="J94" s="216"/>
      <c r="K94" s="215"/>
      <c r="L94" s="216"/>
    </row>
    <row r="95" ht="14.25" customHeight="1">
      <c r="A95" s="214"/>
      <c r="B95" s="215"/>
      <c r="C95" s="216"/>
      <c r="D95" s="216"/>
      <c r="E95" s="216"/>
      <c r="F95" s="216"/>
      <c r="G95" s="216"/>
      <c r="H95" s="216"/>
      <c r="I95" s="216"/>
      <c r="J95" s="216"/>
      <c r="K95" s="215"/>
      <c r="L95" s="216"/>
    </row>
    <row r="96" ht="14.25" customHeight="1">
      <c r="A96" s="214"/>
      <c r="B96" s="215"/>
      <c r="C96" s="216"/>
      <c r="D96" s="216"/>
      <c r="E96" s="216"/>
      <c r="F96" s="216"/>
      <c r="G96" s="216"/>
      <c r="H96" s="216"/>
      <c r="I96" s="216"/>
      <c r="J96" s="216"/>
      <c r="K96" s="215"/>
      <c r="L96" s="216"/>
    </row>
    <row r="97" ht="14.25" customHeight="1">
      <c r="A97" s="214"/>
      <c r="B97" s="215"/>
      <c r="C97" s="216"/>
      <c r="D97" s="216"/>
      <c r="E97" s="216"/>
      <c r="F97" s="216"/>
      <c r="G97" s="216"/>
      <c r="H97" s="216"/>
      <c r="I97" s="216"/>
      <c r="J97" s="216"/>
      <c r="K97" s="215"/>
      <c r="L97" s="216"/>
    </row>
    <row r="98" ht="14.25" customHeight="1">
      <c r="A98" s="214"/>
      <c r="B98" s="215"/>
      <c r="C98" s="216"/>
      <c r="D98" s="216"/>
      <c r="E98" s="216"/>
      <c r="F98" s="216"/>
      <c r="G98" s="216"/>
      <c r="H98" s="216"/>
      <c r="I98" s="216"/>
      <c r="J98" s="216"/>
      <c r="K98" s="215"/>
      <c r="L98" s="216"/>
    </row>
    <row r="99" ht="14.25" customHeight="1">
      <c r="A99" s="214"/>
      <c r="B99" s="215"/>
      <c r="C99" s="216"/>
      <c r="D99" s="216"/>
      <c r="E99" s="216"/>
      <c r="F99" s="216"/>
      <c r="G99" s="216"/>
      <c r="H99" s="216"/>
      <c r="I99" s="216"/>
      <c r="J99" s="216"/>
      <c r="K99" s="215"/>
      <c r="L99" s="216"/>
    </row>
    <row r="100" ht="14.25" customHeight="1">
      <c r="A100" s="214"/>
      <c r="B100" s="215"/>
      <c r="C100" s="216"/>
      <c r="D100" s="216"/>
      <c r="E100" s="216"/>
      <c r="F100" s="216"/>
      <c r="G100" s="216"/>
      <c r="H100" s="216"/>
      <c r="I100" s="216"/>
      <c r="J100" s="216"/>
      <c r="K100" s="215"/>
      <c r="L100" s="216"/>
    </row>
    <row r="101" ht="14.25" customHeight="1">
      <c r="A101" s="214"/>
      <c r="B101" s="215"/>
      <c r="C101" s="216"/>
      <c r="D101" s="216"/>
      <c r="E101" s="216"/>
      <c r="F101" s="216"/>
      <c r="G101" s="216"/>
      <c r="H101" s="216"/>
      <c r="I101" s="216"/>
      <c r="J101" s="216"/>
      <c r="K101" s="215"/>
      <c r="L101" s="216"/>
    </row>
    <row r="102" ht="14.25" customHeight="1">
      <c r="A102" s="214"/>
      <c r="B102" s="215"/>
      <c r="C102" s="216"/>
      <c r="D102" s="216"/>
      <c r="E102" s="216"/>
      <c r="F102" s="216"/>
      <c r="G102" s="216"/>
      <c r="H102" s="216"/>
      <c r="I102" s="216"/>
      <c r="J102" s="216"/>
      <c r="K102" s="215"/>
      <c r="L102" s="216"/>
    </row>
    <row r="103" ht="14.25" customHeight="1">
      <c r="A103" s="214"/>
      <c r="B103" s="215"/>
      <c r="C103" s="216"/>
      <c r="D103" s="216"/>
      <c r="E103" s="216"/>
      <c r="F103" s="216"/>
      <c r="G103" s="216"/>
      <c r="H103" s="216"/>
      <c r="I103" s="216"/>
      <c r="J103" s="216"/>
      <c r="K103" s="215"/>
      <c r="L103" s="216"/>
    </row>
    <row r="104" ht="14.25" customHeight="1">
      <c r="A104" s="214"/>
      <c r="B104" s="215"/>
      <c r="C104" s="216"/>
      <c r="D104" s="216"/>
      <c r="E104" s="216"/>
      <c r="F104" s="216"/>
      <c r="G104" s="216"/>
      <c r="H104" s="216"/>
      <c r="I104" s="216"/>
      <c r="J104" s="216"/>
      <c r="K104" s="215"/>
      <c r="L104" s="216"/>
    </row>
    <row r="105" ht="14.25" customHeight="1">
      <c r="A105" s="214"/>
      <c r="B105" s="215"/>
      <c r="C105" s="216"/>
      <c r="D105" s="216"/>
      <c r="E105" s="216"/>
      <c r="F105" s="216"/>
      <c r="G105" s="216"/>
      <c r="H105" s="216"/>
      <c r="I105" s="216"/>
      <c r="J105" s="216"/>
      <c r="K105" s="215"/>
      <c r="L105" s="216"/>
    </row>
    <row r="106" ht="14.25" customHeight="1">
      <c r="A106" s="214"/>
      <c r="B106" s="215"/>
      <c r="C106" s="216"/>
      <c r="D106" s="216"/>
      <c r="E106" s="216"/>
      <c r="F106" s="216"/>
      <c r="G106" s="216"/>
      <c r="H106" s="216"/>
      <c r="I106" s="216"/>
      <c r="J106" s="216"/>
      <c r="K106" s="215"/>
      <c r="L106" s="216"/>
    </row>
    <row r="107" ht="14.25" customHeight="1">
      <c r="A107" s="214"/>
      <c r="B107" s="215"/>
      <c r="C107" s="216"/>
      <c r="D107" s="216"/>
      <c r="E107" s="216"/>
      <c r="F107" s="216"/>
      <c r="G107" s="216"/>
      <c r="H107" s="216"/>
      <c r="I107" s="216"/>
      <c r="J107" s="216"/>
      <c r="K107" s="215"/>
      <c r="L107" s="216"/>
    </row>
    <row r="108" ht="14.25" customHeight="1">
      <c r="A108" s="214"/>
      <c r="B108" s="215"/>
      <c r="C108" s="216"/>
      <c r="D108" s="216"/>
      <c r="E108" s="216"/>
      <c r="F108" s="216"/>
      <c r="G108" s="216"/>
      <c r="H108" s="216"/>
      <c r="I108" s="216"/>
      <c r="J108" s="216"/>
      <c r="K108" s="215"/>
      <c r="L108" s="216"/>
    </row>
    <row r="109" ht="14.25" customHeight="1">
      <c r="A109" s="214"/>
      <c r="B109" s="215"/>
      <c r="C109" s="216"/>
      <c r="D109" s="216"/>
      <c r="E109" s="216"/>
      <c r="F109" s="216"/>
      <c r="G109" s="216"/>
      <c r="H109" s="216"/>
      <c r="I109" s="216"/>
      <c r="J109" s="216"/>
      <c r="K109" s="215"/>
      <c r="L109" s="216"/>
    </row>
    <row r="110" ht="14.25" customHeight="1">
      <c r="A110" s="214"/>
      <c r="B110" s="215"/>
      <c r="C110" s="216"/>
      <c r="D110" s="216"/>
      <c r="E110" s="216"/>
      <c r="F110" s="216"/>
      <c r="G110" s="216"/>
      <c r="H110" s="216"/>
      <c r="I110" s="216"/>
      <c r="J110" s="216"/>
      <c r="K110" s="215"/>
      <c r="L110" s="216"/>
    </row>
    <row r="111" ht="14.25" customHeight="1">
      <c r="A111" s="214"/>
      <c r="B111" s="215"/>
      <c r="C111" s="216"/>
      <c r="D111" s="216"/>
      <c r="E111" s="216"/>
      <c r="F111" s="216"/>
      <c r="G111" s="216"/>
      <c r="H111" s="216"/>
      <c r="I111" s="216"/>
      <c r="J111" s="216"/>
      <c r="K111" s="215"/>
      <c r="L111" s="216"/>
    </row>
    <row r="112" ht="14.25" customHeight="1">
      <c r="A112" s="214"/>
      <c r="B112" s="215"/>
      <c r="C112" s="216"/>
      <c r="D112" s="216"/>
      <c r="E112" s="216"/>
      <c r="F112" s="216"/>
      <c r="G112" s="216"/>
      <c r="H112" s="216"/>
      <c r="I112" s="216"/>
      <c r="J112" s="216"/>
      <c r="K112" s="215"/>
      <c r="L112" s="216"/>
    </row>
    <row r="113" ht="14.25" customHeight="1">
      <c r="A113" s="214"/>
      <c r="B113" s="215"/>
      <c r="C113" s="216"/>
      <c r="D113" s="216"/>
      <c r="E113" s="216"/>
      <c r="F113" s="216"/>
      <c r="G113" s="216"/>
      <c r="H113" s="216"/>
      <c r="I113" s="216"/>
      <c r="J113" s="216"/>
      <c r="K113" s="215"/>
      <c r="L113" s="216"/>
    </row>
    <row r="114" ht="14.25" customHeight="1">
      <c r="A114" s="214"/>
      <c r="B114" s="215"/>
      <c r="C114" s="216"/>
      <c r="D114" s="216"/>
      <c r="E114" s="216"/>
      <c r="F114" s="216"/>
      <c r="G114" s="216"/>
      <c r="H114" s="216"/>
      <c r="I114" s="216"/>
      <c r="J114" s="216"/>
      <c r="K114" s="215"/>
      <c r="L114" s="216"/>
    </row>
    <row r="115" ht="14.25" customHeight="1">
      <c r="A115" s="214"/>
      <c r="B115" s="215"/>
      <c r="C115" s="216"/>
      <c r="D115" s="216"/>
      <c r="E115" s="216"/>
      <c r="F115" s="216"/>
      <c r="G115" s="216"/>
      <c r="H115" s="216"/>
      <c r="I115" s="216"/>
      <c r="J115" s="216"/>
      <c r="K115" s="215"/>
      <c r="L115" s="216"/>
    </row>
    <row r="116" ht="14.25" customHeight="1">
      <c r="A116" s="214"/>
      <c r="B116" s="215"/>
      <c r="C116" s="216"/>
      <c r="D116" s="216"/>
      <c r="E116" s="216"/>
      <c r="F116" s="216"/>
      <c r="G116" s="216"/>
      <c r="H116" s="216"/>
      <c r="I116" s="216"/>
      <c r="J116" s="216"/>
      <c r="K116" s="215"/>
      <c r="L116" s="216"/>
    </row>
    <row r="117" ht="14.25" customHeight="1">
      <c r="A117" s="214"/>
      <c r="B117" s="215"/>
      <c r="C117" s="216"/>
      <c r="D117" s="216"/>
      <c r="E117" s="216"/>
      <c r="F117" s="216"/>
      <c r="G117" s="216"/>
      <c r="H117" s="216"/>
      <c r="I117" s="216"/>
      <c r="J117" s="216"/>
      <c r="K117" s="215"/>
      <c r="L117" s="216"/>
    </row>
    <row r="118" ht="14.25" customHeight="1">
      <c r="A118" s="214"/>
      <c r="B118" s="215"/>
      <c r="C118" s="216"/>
      <c r="D118" s="216"/>
      <c r="E118" s="216"/>
      <c r="F118" s="216"/>
      <c r="G118" s="216"/>
      <c r="H118" s="216"/>
      <c r="I118" s="216"/>
      <c r="J118" s="216"/>
      <c r="K118" s="215"/>
      <c r="L118" s="216"/>
    </row>
    <row r="119" ht="14.25" customHeight="1">
      <c r="A119" s="214"/>
      <c r="B119" s="215"/>
      <c r="C119" s="216"/>
      <c r="D119" s="216"/>
      <c r="E119" s="216"/>
      <c r="F119" s="216"/>
      <c r="G119" s="216"/>
      <c r="H119" s="216"/>
      <c r="I119" s="216"/>
      <c r="J119" s="216"/>
      <c r="K119" s="215"/>
      <c r="L119" s="216"/>
    </row>
    <row r="120" ht="14.25" customHeight="1">
      <c r="A120" s="214"/>
      <c r="B120" s="215"/>
      <c r="C120" s="216"/>
      <c r="D120" s="216"/>
      <c r="E120" s="216"/>
      <c r="F120" s="216"/>
      <c r="G120" s="216"/>
      <c r="H120" s="216"/>
      <c r="I120" s="216"/>
      <c r="J120" s="216"/>
      <c r="K120" s="215"/>
      <c r="L120" s="216"/>
    </row>
    <row r="121" ht="14.25" customHeight="1">
      <c r="A121" s="214"/>
      <c r="B121" s="215"/>
      <c r="C121" s="216"/>
      <c r="D121" s="216"/>
      <c r="E121" s="216"/>
      <c r="F121" s="216"/>
      <c r="G121" s="216"/>
      <c r="H121" s="216"/>
      <c r="I121" s="216"/>
      <c r="J121" s="216"/>
      <c r="K121" s="215"/>
      <c r="L121" s="216"/>
    </row>
    <row r="122" ht="14.25" customHeight="1">
      <c r="A122" s="214"/>
      <c r="B122" s="215"/>
      <c r="C122" s="216"/>
      <c r="D122" s="216"/>
      <c r="E122" s="216"/>
      <c r="F122" s="216"/>
      <c r="G122" s="216"/>
      <c r="H122" s="216"/>
      <c r="I122" s="216"/>
      <c r="J122" s="216"/>
      <c r="K122" s="215"/>
      <c r="L122" s="216"/>
    </row>
    <row r="123" ht="14.25" customHeight="1">
      <c r="A123" s="214"/>
      <c r="B123" s="215"/>
      <c r="C123" s="216"/>
      <c r="D123" s="216"/>
      <c r="E123" s="216"/>
      <c r="F123" s="216"/>
      <c r="G123" s="216"/>
      <c r="H123" s="216"/>
      <c r="I123" s="216"/>
      <c r="J123" s="216"/>
      <c r="K123" s="215"/>
      <c r="L123" s="216"/>
    </row>
    <row r="124" ht="14.25" customHeight="1">
      <c r="A124" s="214"/>
      <c r="B124" s="215"/>
      <c r="C124" s="216"/>
      <c r="D124" s="216"/>
      <c r="E124" s="216"/>
      <c r="F124" s="216"/>
      <c r="G124" s="216"/>
      <c r="H124" s="216"/>
      <c r="I124" s="216"/>
      <c r="J124" s="216"/>
      <c r="K124" s="215"/>
      <c r="L124" s="216"/>
    </row>
    <row r="125" ht="14.25" customHeight="1">
      <c r="A125" s="214"/>
      <c r="B125" s="215"/>
      <c r="C125" s="216"/>
      <c r="D125" s="216"/>
      <c r="E125" s="216"/>
      <c r="F125" s="216"/>
      <c r="G125" s="216"/>
      <c r="H125" s="216"/>
      <c r="I125" s="216"/>
      <c r="J125" s="216"/>
      <c r="K125" s="215"/>
      <c r="L125" s="216"/>
    </row>
    <row r="126" ht="14.25" customHeight="1">
      <c r="A126" s="214"/>
      <c r="B126" s="215"/>
      <c r="C126" s="216"/>
      <c r="D126" s="216"/>
      <c r="E126" s="216"/>
      <c r="F126" s="216"/>
      <c r="G126" s="216"/>
      <c r="H126" s="216"/>
      <c r="I126" s="216"/>
      <c r="J126" s="216"/>
      <c r="K126" s="215"/>
      <c r="L126" s="216"/>
    </row>
    <row r="127" ht="14.25" customHeight="1">
      <c r="A127" s="214"/>
      <c r="B127" s="215"/>
      <c r="C127" s="216"/>
      <c r="D127" s="216"/>
      <c r="E127" s="216"/>
      <c r="F127" s="216"/>
      <c r="G127" s="216"/>
      <c r="H127" s="216"/>
      <c r="I127" s="216"/>
      <c r="J127" s="216"/>
      <c r="K127" s="215"/>
      <c r="L127" s="216"/>
    </row>
    <row r="128" ht="14.25" customHeight="1">
      <c r="A128" s="214"/>
      <c r="B128" s="215"/>
      <c r="C128" s="216"/>
      <c r="D128" s="216"/>
      <c r="E128" s="216"/>
      <c r="F128" s="216"/>
      <c r="G128" s="216"/>
      <c r="H128" s="216"/>
      <c r="I128" s="216"/>
      <c r="J128" s="216"/>
      <c r="K128" s="215"/>
      <c r="L128" s="216"/>
    </row>
    <row r="129" ht="14.25" customHeight="1">
      <c r="A129" s="214"/>
      <c r="B129" s="215"/>
      <c r="C129" s="216"/>
      <c r="D129" s="216"/>
      <c r="E129" s="216"/>
      <c r="F129" s="216"/>
      <c r="G129" s="216"/>
      <c r="H129" s="216"/>
      <c r="I129" s="216"/>
      <c r="J129" s="216"/>
      <c r="K129" s="215"/>
      <c r="L129" s="216"/>
    </row>
    <row r="130" ht="14.25" customHeight="1">
      <c r="A130" s="214"/>
      <c r="B130" s="215"/>
      <c r="C130" s="216"/>
      <c r="D130" s="216"/>
      <c r="E130" s="216"/>
      <c r="F130" s="216"/>
      <c r="G130" s="216"/>
      <c r="H130" s="216"/>
      <c r="I130" s="216"/>
      <c r="J130" s="216"/>
      <c r="K130" s="215"/>
      <c r="L130" s="216"/>
    </row>
    <row r="131" ht="14.25" customHeight="1">
      <c r="A131" s="214"/>
      <c r="B131" s="215"/>
      <c r="C131" s="216"/>
      <c r="D131" s="216"/>
      <c r="E131" s="216"/>
      <c r="F131" s="216"/>
      <c r="G131" s="216"/>
      <c r="H131" s="216"/>
      <c r="I131" s="216"/>
      <c r="J131" s="216"/>
      <c r="K131" s="215"/>
      <c r="L131" s="216"/>
    </row>
    <row r="132" ht="14.25" customHeight="1">
      <c r="A132" s="214"/>
      <c r="B132" s="215"/>
      <c r="C132" s="216"/>
      <c r="D132" s="216"/>
      <c r="E132" s="216"/>
      <c r="F132" s="216"/>
      <c r="G132" s="216"/>
      <c r="H132" s="216"/>
      <c r="I132" s="216"/>
      <c r="J132" s="216"/>
      <c r="K132" s="215"/>
      <c r="L132" s="216"/>
    </row>
    <row r="133" ht="14.25" customHeight="1">
      <c r="A133" s="214"/>
      <c r="B133" s="215"/>
      <c r="C133" s="216"/>
      <c r="D133" s="216"/>
      <c r="E133" s="216"/>
      <c r="F133" s="216"/>
      <c r="G133" s="216"/>
      <c r="H133" s="216"/>
      <c r="I133" s="216"/>
      <c r="J133" s="216"/>
      <c r="K133" s="215"/>
      <c r="L133" s="216"/>
    </row>
    <row r="134" ht="14.25" customHeight="1">
      <c r="A134" s="214"/>
      <c r="B134" s="215"/>
      <c r="C134" s="216"/>
      <c r="D134" s="216"/>
      <c r="E134" s="216"/>
      <c r="F134" s="216"/>
      <c r="G134" s="216"/>
      <c r="H134" s="216"/>
      <c r="I134" s="216"/>
      <c r="J134" s="216"/>
      <c r="K134" s="215"/>
      <c r="L134" s="216"/>
    </row>
    <row r="135" ht="14.25" customHeight="1">
      <c r="A135" s="214"/>
      <c r="B135" s="215"/>
      <c r="C135" s="216"/>
      <c r="D135" s="216"/>
      <c r="E135" s="216"/>
      <c r="F135" s="216"/>
      <c r="G135" s="216"/>
      <c r="H135" s="216"/>
      <c r="I135" s="216"/>
      <c r="J135" s="216"/>
      <c r="K135" s="215"/>
      <c r="L135" s="216"/>
    </row>
    <row r="136" ht="14.25" customHeight="1">
      <c r="A136" s="214"/>
      <c r="B136" s="215"/>
      <c r="C136" s="216"/>
      <c r="D136" s="216"/>
      <c r="E136" s="216"/>
      <c r="F136" s="216"/>
      <c r="G136" s="216"/>
      <c r="H136" s="216"/>
      <c r="I136" s="216"/>
      <c r="J136" s="216"/>
      <c r="K136" s="215"/>
      <c r="L136" s="216"/>
    </row>
    <row r="137" ht="14.25" customHeight="1">
      <c r="A137" s="214"/>
      <c r="B137" s="215"/>
      <c r="C137" s="216"/>
      <c r="D137" s="216"/>
      <c r="E137" s="216"/>
      <c r="F137" s="216"/>
      <c r="G137" s="216"/>
      <c r="H137" s="216"/>
      <c r="I137" s="216"/>
      <c r="J137" s="216"/>
      <c r="K137" s="215"/>
      <c r="L137" s="216"/>
    </row>
    <row r="138" ht="14.25" customHeight="1">
      <c r="A138" s="214"/>
      <c r="B138" s="215"/>
      <c r="C138" s="216"/>
      <c r="D138" s="216"/>
      <c r="E138" s="216"/>
      <c r="F138" s="216"/>
      <c r="G138" s="216"/>
      <c r="H138" s="216"/>
      <c r="I138" s="216"/>
      <c r="J138" s="216"/>
      <c r="K138" s="215"/>
      <c r="L138" s="216"/>
    </row>
    <row r="139" ht="14.25" customHeight="1">
      <c r="A139" s="214"/>
      <c r="B139" s="215"/>
      <c r="C139" s="216"/>
      <c r="D139" s="216"/>
      <c r="E139" s="216"/>
      <c r="F139" s="216"/>
      <c r="G139" s="216"/>
      <c r="H139" s="216"/>
      <c r="I139" s="216"/>
      <c r="J139" s="216"/>
      <c r="K139" s="215"/>
      <c r="L139" s="216"/>
    </row>
    <row r="140" ht="14.25" customHeight="1">
      <c r="A140" s="214"/>
      <c r="B140" s="215"/>
      <c r="C140" s="216"/>
      <c r="D140" s="216"/>
      <c r="E140" s="216"/>
      <c r="F140" s="216"/>
      <c r="G140" s="216"/>
      <c r="H140" s="216"/>
      <c r="I140" s="216"/>
      <c r="J140" s="216"/>
      <c r="K140" s="215"/>
      <c r="L140" s="216"/>
    </row>
    <row r="141" ht="14.25" customHeight="1">
      <c r="A141" s="214"/>
      <c r="B141" s="215"/>
      <c r="C141" s="216"/>
      <c r="D141" s="216"/>
      <c r="E141" s="216"/>
      <c r="F141" s="216"/>
      <c r="G141" s="216"/>
      <c r="H141" s="216"/>
      <c r="I141" s="216"/>
      <c r="J141" s="216"/>
      <c r="K141" s="215"/>
      <c r="L141" s="216"/>
    </row>
    <row r="142" ht="14.25" customHeight="1">
      <c r="A142" s="214"/>
      <c r="B142" s="215"/>
      <c r="C142" s="216"/>
      <c r="D142" s="216"/>
      <c r="E142" s="216"/>
      <c r="F142" s="216"/>
      <c r="G142" s="216"/>
      <c r="H142" s="216"/>
      <c r="I142" s="216"/>
      <c r="J142" s="216"/>
      <c r="K142" s="215"/>
      <c r="L142" s="216"/>
    </row>
    <row r="143" ht="14.25" customHeight="1">
      <c r="A143" s="214"/>
      <c r="B143" s="215"/>
      <c r="C143" s="216"/>
      <c r="D143" s="216"/>
      <c r="E143" s="216"/>
      <c r="F143" s="216"/>
      <c r="G143" s="216"/>
      <c r="H143" s="216"/>
      <c r="I143" s="216"/>
      <c r="J143" s="216"/>
      <c r="K143" s="215"/>
      <c r="L143" s="216"/>
    </row>
    <row r="144" ht="14.25" customHeight="1">
      <c r="A144" s="214"/>
      <c r="B144" s="215"/>
      <c r="C144" s="216"/>
      <c r="D144" s="216"/>
      <c r="E144" s="216"/>
      <c r="F144" s="216"/>
      <c r="G144" s="216"/>
      <c r="H144" s="216"/>
      <c r="I144" s="216"/>
      <c r="J144" s="216"/>
      <c r="K144" s="215"/>
      <c r="L144" s="216"/>
    </row>
    <row r="145" ht="14.25" customHeight="1">
      <c r="A145" s="214"/>
      <c r="B145" s="215"/>
      <c r="C145" s="216"/>
      <c r="D145" s="216"/>
      <c r="E145" s="216"/>
      <c r="F145" s="216"/>
      <c r="G145" s="216"/>
      <c r="H145" s="216"/>
      <c r="I145" s="216"/>
      <c r="J145" s="216"/>
      <c r="K145" s="215"/>
      <c r="L145" s="216"/>
    </row>
    <row r="146" ht="14.25" customHeight="1">
      <c r="A146" s="214"/>
      <c r="B146" s="215"/>
      <c r="C146" s="216"/>
      <c r="D146" s="216"/>
      <c r="E146" s="216"/>
      <c r="F146" s="216"/>
      <c r="G146" s="216"/>
      <c r="H146" s="216"/>
      <c r="I146" s="216"/>
      <c r="J146" s="216"/>
      <c r="K146" s="215"/>
      <c r="L146" s="216"/>
    </row>
    <row r="147" ht="14.25" customHeight="1">
      <c r="A147" s="214"/>
      <c r="B147" s="215"/>
      <c r="C147" s="216"/>
      <c r="D147" s="216"/>
      <c r="E147" s="216"/>
      <c r="F147" s="216"/>
      <c r="G147" s="216"/>
      <c r="H147" s="216"/>
      <c r="I147" s="216"/>
      <c r="J147" s="216"/>
      <c r="K147" s="215"/>
      <c r="L147" s="216"/>
    </row>
    <row r="148" ht="14.25" customHeight="1">
      <c r="A148" s="214"/>
      <c r="B148" s="215"/>
      <c r="C148" s="216"/>
      <c r="D148" s="216"/>
      <c r="E148" s="216"/>
      <c r="F148" s="216"/>
      <c r="G148" s="216"/>
      <c r="H148" s="216"/>
      <c r="I148" s="216"/>
      <c r="J148" s="216"/>
      <c r="K148" s="215"/>
      <c r="L148" s="216"/>
    </row>
    <row r="149" ht="14.25" customHeight="1">
      <c r="A149" s="214"/>
      <c r="B149" s="215"/>
      <c r="C149" s="216"/>
      <c r="D149" s="216"/>
      <c r="E149" s="216"/>
      <c r="F149" s="216"/>
      <c r="G149" s="216"/>
      <c r="H149" s="216"/>
      <c r="I149" s="216"/>
      <c r="J149" s="216"/>
      <c r="K149" s="215"/>
      <c r="L149" s="216"/>
    </row>
    <row r="150" ht="14.25" customHeight="1">
      <c r="A150" s="214"/>
      <c r="B150" s="215"/>
      <c r="C150" s="216"/>
      <c r="D150" s="216"/>
      <c r="E150" s="216"/>
      <c r="F150" s="216"/>
      <c r="G150" s="216"/>
      <c r="H150" s="216"/>
      <c r="I150" s="216"/>
      <c r="J150" s="216"/>
      <c r="K150" s="215"/>
      <c r="L150" s="216"/>
    </row>
    <row r="151" ht="14.25" customHeight="1">
      <c r="A151" s="214"/>
      <c r="B151" s="215"/>
      <c r="C151" s="216"/>
      <c r="D151" s="216"/>
      <c r="E151" s="216"/>
      <c r="F151" s="216"/>
      <c r="G151" s="216"/>
      <c r="H151" s="216"/>
      <c r="I151" s="216"/>
      <c r="J151" s="216"/>
      <c r="K151" s="215"/>
      <c r="L151" s="216"/>
    </row>
    <row r="152" ht="14.25" customHeight="1">
      <c r="A152" s="214"/>
      <c r="B152" s="215"/>
      <c r="C152" s="216"/>
      <c r="D152" s="216"/>
      <c r="E152" s="216"/>
      <c r="F152" s="216"/>
      <c r="G152" s="216"/>
      <c r="H152" s="216"/>
      <c r="I152" s="216"/>
      <c r="J152" s="216"/>
      <c r="K152" s="215"/>
      <c r="L152" s="216"/>
    </row>
    <row r="153" ht="14.25" customHeight="1">
      <c r="A153" s="214"/>
      <c r="B153" s="215"/>
      <c r="C153" s="216"/>
      <c r="D153" s="216"/>
      <c r="E153" s="216"/>
      <c r="F153" s="216"/>
      <c r="G153" s="216"/>
      <c r="H153" s="216"/>
      <c r="I153" s="216"/>
      <c r="J153" s="216"/>
      <c r="K153" s="215"/>
      <c r="L153" s="216"/>
    </row>
    <row r="154" ht="14.25" customHeight="1">
      <c r="A154" s="214"/>
      <c r="B154" s="215"/>
      <c r="C154" s="216"/>
      <c r="D154" s="216"/>
      <c r="E154" s="216"/>
      <c r="F154" s="216"/>
      <c r="G154" s="216"/>
      <c r="H154" s="216"/>
      <c r="I154" s="216"/>
      <c r="J154" s="216"/>
      <c r="K154" s="215"/>
      <c r="L154" s="216"/>
    </row>
    <row r="155" ht="14.25" customHeight="1">
      <c r="A155" s="214"/>
      <c r="B155" s="215"/>
      <c r="C155" s="216"/>
      <c r="D155" s="216"/>
      <c r="E155" s="216"/>
      <c r="F155" s="216"/>
      <c r="G155" s="216"/>
      <c r="H155" s="216"/>
      <c r="I155" s="216"/>
      <c r="J155" s="216"/>
      <c r="K155" s="215"/>
      <c r="L155" s="216"/>
    </row>
    <row r="156" ht="14.25" customHeight="1">
      <c r="A156" s="214"/>
      <c r="B156" s="215"/>
      <c r="C156" s="216"/>
      <c r="D156" s="216"/>
      <c r="E156" s="216"/>
      <c r="F156" s="216"/>
      <c r="G156" s="216"/>
      <c r="H156" s="216"/>
      <c r="I156" s="216"/>
      <c r="J156" s="216"/>
      <c r="K156" s="215"/>
      <c r="L156" s="216"/>
    </row>
    <row r="157" ht="14.25" customHeight="1">
      <c r="A157" s="214"/>
      <c r="B157" s="215"/>
      <c r="C157" s="216"/>
      <c r="D157" s="216"/>
      <c r="E157" s="216"/>
      <c r="F157" s="216"/>
      <c r="G157" s="216"/>
      <c r="H157" s="216"/>
      <c r="I157" s="216"/>
      <c r="J157" s="216"/>
      <c r="K157" s="215"/>
      <c r="L157" s="216"/>
    </row>
    <row r="158" ht="14.25" customHeight="1">
      <c r="A158" s="214"/>
      <c r="B158" s="215"/>
      <c r="C158" s="216"/>
      <c r="D158" s="216"/>
      <c r="E158" s="216"/>
      <c r="F158" s="216"/>
      <c r="G158" s="216"/>
      <c r="H158" s="216"/>
      <c r="I158" s="216"/>
      <c r="J158" s="216"/>
      <c r="K158" s="215"/>
      <c r="L158" s="216"/>
    </row>
    <row r="159" ht="14.25" customHeight="1">
      <c r="A159" s="214"/>
      <c r="B159" s="215"/>
      <c r="C159" s="216"/>
      <c r="D159" s="216"/>
      <c r="E159" s="216"/>
      <c r="F159" s="216"/>
      <c r="G159" s="216"/>
      <c r="H159" s="216"/>
      <c r="I159" s="216"/>
      <c r="J159" s="216"/>
      <c r="K159" s="215"/>
      <c r="L159" s="216"/>
    </row>
    <row r="160" ht="14.25" customHeight="1">
      <c r="A160" s="214"/>
      <c r="B160" s="215"/>
      <c r="C160" s="216"/>
      <c r="D160" s="216"/>
      <c r="E160" s="216"/>
      <c r="F160" s="216"/>
      <c r="G160" s="216"/>
      <c r="H160" s="216"/>
      <c r="I160" s="216"/>
      <c r="J160" s="216"/>
      <c r="K160" s="215"/>
      <c r="L160" s="216"/>
    </row>
    <row r="161" ht="14.25" customHeight="1">
      <c r="A161" s="214"/>
      <c r="B161" s="215"/>
      <c r="C161" s="216"/>
      <c r="D161" s="216"/>
      <c r="E161" s="216"/>
      <c r="F161" s="216"/>
      <c r="G161" s="216"/>
      <c r="H161" s="216"/>
      <c r="I161" s="216"/>
      <c r="J161" s="216"/>
      <c r="K161" s="215"/>
      <c r="L161" s="216"/>
    </row>
    <row r="162" ht="14.25" customHeight="1">
      <c r="A162" s="214"/>
      <c r="B162" s="215"/>
      <c r="C162" s="216"/>
      <c r="D162" s="216"/>
      <c r="E162" s="216"/>
      <c r="F162" s="216"/>
      <c r="G162" s="216"/>
      <c r="H162" s="216"/>
      <c r="I162" s="216"/>
      <c r="J162" s="216"/>
      <c r="K162" s="215"/>
      <c r="L162" s="216"/>
    </row>
    <row r="163" ht="14.25" customHeight="1">
      <c r="A163" s="214"/>
      <c r="B163" s="215"/>
      <c r="C163" s="216"/>
      <c r="D163" s="216"/>
      <c r="E163" s="216"/>
      <c r="F163" s="216"/>
      <c r="G163" s="216"/>
      <c r="H163" s="216"/>
      <c r="I163" s="216"/>
      <c r="J163" s="216"/>
      <c r="K163" s="215"/>
      <c r="L163" s="216"/>
    </row>
    <row r="164" ht="14.25" customHeight="1">
      <c r="A164" s="214"/>
      <c r="B164" s="215"/>
      <c r="C164" s="216"/>
      <c r="D164" s="216"/>
      <c r="E164" s="216"/>
      <c r="F164" s="216"/>
      <c r="G164" s="216"/>
      <c r="H164" s="216"/>
      <c r="I164" s="216"/>
      <c r="J164" s="216"/>
      <c r="K164" s="215"/>
      <c r="L164" s="216"/>
    </row>
    <row r="165" ht="14.25" customHeight="1">
      <c r="A165" s="214"/>
      <c r="B165" s="215"/>
      <c r="C165" s="216"/>
      <c r="D165" s="216"/>
      <c r="E165" s="216"/>
      <c r="F165" s="216"/>
      <c r="G165" s="216"/>
      <c r="H165" s="216"/>
      <c r="I165" s="216"/>
      <c r="J165" s="216"/>
      <c r="K165" s="215"/>
      <c r="L165" s="216"/>
    </row>
    <row r="166" ht="14.25" customHeight="1">
      <c r="A166" s="214"/>
      <c r="B166" s="215"/>
      <c r="C166" s="216"/>
      <c r="D166" s="216"/>
      <c r="E166" s="216"/>
      <c r="F166" s="216"/>
      <c r="G166" s="216"/>
      <c r="H166" s="216"/>
      <c r="I166" s="216"/>
      <c r="J166" s="216"/>
      <c r="K166" s="215"/>
      <c r="L166" s="216"/>
    </row>
    <row r="167" ht="14.25" customHeight="1">
      <c r="A167" s="214"/>
      <c r="B167" s="215"/>
      <c r="C167" s="216"/>
      <c r="D167" s="216"/>
      <c r="E167" s="216"/>
      <c r="F167" s="216"/>
      <c r="G167" s="216"/>
      <c r="H167" s="216"/>
      <c r="I167" s="216"/>
      <c r="J167" s="216"/>
      <c r="K167" s="215"/>
      <c r="L167" s="216"/>
    </row>
    <row r="168" ht="14.25" customHeight="1">
      <c r="A168" s="214"/>
      <c r="B168" s="215"/>
      <c r="C168" s="216"/>
      <c r="D168" s="216"/>
      <c r="E168" s="216"/>
      <c r="F168" s="216"/>
      <c r="G168" s="216"/>
      <c r="H168" s="216"/>
      <c r="I168" s="216"/>
      <c r="J168" s="216"/>
      <c r="K168" s="215"/>
      <c r="L168" s="216"/>
    </row>
    <row r="169" ht="14.25" customHeight="1">
      <c r="A169" s="214"/>
      <c r="B169" s="215"/>
      <c r="C169" s="216"/>
      <c r="D169" s="216"/>
      <c r="E169" s="216"/>
      <c r="F169" s="216"/>
      <c r="G169" s="216"/>
      <c r="H169" s="216"/>
      <c r="I169" s="216"/>
      <c r="J169" s="216"/>
      <c r="K169" s="215"/>
      <c r="L169" s="216"/>
    </row>
    <row r="170" ht="14.25" customHeight="1">
      <c r="A170" s="214"/>
      <c r="B170" s="215"/>
      <c r="C170" s="216"/>
      <c r="D170" s="216"/>
      <c r="E170" s="216"/>
      <c r="F170" s="216"/>
      <c r="G170" s="216"/>
      <c r="H170" s="216"/>
      <c r="I170" s="216"/>
      <c r="J170" s="216"/>
      <c r="K170" s="215"/>
      <c r="L170" s="216"/>
    </row>
    <row r="171" ht="14.25" customHeight="1">
      <c r="A171" s="214"/>
      <c r="B171" s="215"/>
      <c r="C171" s="216"/>
      <c r="D171" s="216"/>
      <c r="E171" s="216"/>
      <c r="F171" s="216"/>
      <c r="G171" s="216"/>
      <c r="H171" s="216"/>
      <c r="I171" s="216"/>
      <c r="J171" s="216"/>
      <c r="K171" s="215"/>
      <c r="L171" s="216"/>
    </row>
    <row r="172" ht="14.25" customHeight="1">
      <c r="A172" s="214"/>
      <c r="B172" s="215"/>
      <c r="C172" s="216"/>
      <c r="D172" s="216"/>
      <c r="E172" s="216"/>
      <c r="F172" s="216"/>
      <c r="G172" s="216"/>
      <c r="H172" s="216"/>
      <c r="I172" s="216"/>
      <c r="J172" s="216"/>
      <c r="K172" s="215"/>
      <c r="L172" s="216"/>
    </row>
    <row r="173" ht="14.25" customHeight="1">
      <c r="A173" s="214"/>
      <c r="B173" s="215"/>
      <c r="C173" s="216"/>
      <c r="D173" s="216"/>
      <c r="E173" s="216"/>
      <c r="F173" s="216"/>
      <c r="G173" s="216"/>
      <c r="H173" s="216"/>
      <c r="I173" s="216"/>
      <c r="J173" s="216"/>
      <c r="K173" s="215"/>
      <c r="L173" s="216"/>
    </row>
    <row r="174" ht="14.25" customHeight="1">
      <c r="A174" s="214"/>
      <c r="B174" s="215"/>
      <c r="C174" s="216"/>
      <c r="D174" s="216"/>
      <c r="E174" s="216"/>
      <c r="F174" s="216"/>
      <c r="G174" s="216"/>
      <c r="H174" s="216"/>
      <c r="I174" s="216"/>
      <c r="J174" s="216"/>
      <c r="K174" s="215"/>
      <c r="L174" s="216"/>
    </row>
    <row r="175" ht="14.25" customHeight="1">
      <c r="A175" s="214"/>
      <c r="B175" s="215"/>
      <c r="C175" s="216"/>
      <c r="D175" s="216"/>
      <c r="E175" s="216"/>
      <c r="F175" s="216"/>
      <c r="G175" s="216"/>
      <c r="H175" s="216"/>
      <c r="I175" s="216"/>
      <c r="J175" s="216"/>
      <c r="K175" s="215"/>
      <c r="L175" s="216"/>
    </row>
    <row r="176" ht="14.25" customHeight="1">
      <c r="A176" s="214"/>
      <c r="B176" s="215"/>
      <c r="C176" s="216"/>
      <c r="D176" s="216"/>
      <c r="E176" s="216"/>
      <c r="F176" s="216"/>
      <c r="G176" s="216"/>
      <c r="H176" s="216"/>
      <c r="I176" s="216"/>
      <c r="J176" s="216"/>
      <c r="K176" s="215"/>
      <c r="L176" s="216"/>
    </row>
    <row r="177" ht="14.25" customHeight="1">
      <c r="A177" s="214"/>
      <c r="B177" s="215"/>
      <c r="C177" s="216"/>
      <c r="D177" s="216"/>
      <c r="E177" s="216"/>
      <c r="F177" s="216"/>
      <c r="G177" s="216"/>
      <c r="H177" s="216"/>
      <c r="I177" s="216"/>
      <c r="J177" s="216"/>
      <c r="K177" s="215"/>
      <c r="L177" s="216"/>
    </row>
    <row r="178" ht="14.25" customHeight="1">
      <c r="A178" s="214"/>
      <c r="B178" s="215"/>
      <c r="C178" s="216"/>
      <c r="D178" s="216"/>
      <c r="E178" s="216"/>
      <c r="F178" s="216"/>
      <c r="G178" s="216"/>
      <c r="H178" s="216"/>
      <c r="I178" s="216"/>
      <c r="J178" s="216"/>
      <c r="K178" s="215"/>
      <c r="L178" s="216"/>
    </row>
    <row r="179" ht="14.25" customHeight="1">
      <c r="A179" s="214"/>
      <c r="B179" s="215"/>
      <c r="C179" s="216"/>
      <c r="D179" s="216"/>
      <c r="E179" s="216"/>
      <c r="F179" s="216"/>
      <c r="G179" s="216"/>
      <c r="H179" s="216"/>
      <c r="I179" s="216"/>
      <c r="J179" s="216"/>
      <c r="K179" s="215"/>
      <c r="L179" s="216"/>
    </row>
    <row r="180" ht="14.25" customHeight="1">
      <c r="A180" s="214"/>
      <c r="B180" s="215"/>
      <c r="C180" s="216"/>
      <c r="D180" s="216"/>
      <c r="E180" s="216"/>
      <c r="F180" s="216"/>
      <c r="G180" s="216"/>
      <c r="H180" s="216"/>
      <c r="I180" s="216"/>
      <c r="J180" s="216"/>
      <c r="K180" s="215"/>
      <c r="L180" s="216"/>
    </row>
    <row r="181" ht="14.25" customHeight="1">
      <c r="A181" s="214"/>
      <c r="B181" s="215"/>
      <c r="C181" s="216"/>
      <c r="D181" s="216"/>
      <c r="E181" s="216"/>
      <c r="F181" s="216"/>
      <c r="G181" s="216"/>
      <c r="H181" s="216"/>
      <c r="I181" s="216"/>
      <c r="J181" s="216"/>
      <c r="K181" s="215"/>
      <c r="L181" s="216"/>
    </row>
    <row r="182" ht="14.25" customHeight="1">
      <c r="A182" s="214"/>
      <c r="B182" s="215"/>
      <c r="C182" s="216"/>
      <c r="D182" s="216"/>
      <c r="E182" s="216"/>
      <c r="F182" s="216"/>
      <c r="G182" s="216"/>
      <c r="H182" s="216"/>
      <c r="I182" s="216"/>
      <c r="J182" s="216"/>
      <c r="K182" s="215"/>
      <c r="L182" s="216"/>
    </row>
    <row r="183" ht="14.25" customHeight="1">
      <c r="A183" s="214"/>
      <c r="B183" s="215"/>
      <c r="C183" s="216"/>
      <c r="D183" s="216"/>
      <c r="E183" s="216"/>
      <c r="F183" s="216"/>
      <c r="G183" s="216"/>
      <c r="H183" s="216"/>
      <c r="I183" s="216"/>
      <c r="J183" s="216"/>
      <c r="K183" s="215"/>
      <c r="L183" s="216"/>
    </row>
    <row r="184" ht="14.25" customHeight="1">
      <c r="A184" s="214"/>
      <c r="B184" s="215"/>
      <c r="C184" s="216"/>
      <c r="D184" s="216"/>
      <c r="E184" s="216"/>
      <c r="F184" s="216"/>
      <c r="G184" s="216"/>
      <c r="H184" s="216"/>
      <c r="I184" s="216"/>
      <c r="J184" s="216"/>
      <c r="K184" s="215"/>
      <c r="L184" s="216"/>
    </row>
    <row r="185" ht="14.25" customHeight="1">
      <c r="A185" s="214"/>
      <c r="B185" s="215"/>
      <c r="C185" s="216"/>
      <c r="D185" s="216"/>
      <c r="E185" s="216"/>
      <c r="F185" s="216"/>
      <c r="G185" s="216"/>
      <c r="H185" s="216"/>
      <c r="I185" s="216"/>
      <c r="J185" s="216"/>
      <c r="K185" s="215"/>
      <c r="L185" s="216"/>
    </row>
    <row r="186" ht="14.25" customHeight="1">
      <c r="A186" s="214"/>
      <c r="B186" s="215"/>
      <c r="C186" s="216"/>
      <c r="D186" s="216"/>
      <c r="E186" s="216"/>
      <c r="F186" s="216"/>
      <c r="G186" s="216"/>
      <c r="H186" s="216"/>
      <c r="I186" s="216"/>
      <c r="J186" s="216"/>
      <c r="K186" s="215"/>
      <c r="L186" s="216"/>
    </row>
    <row r="187" ht="14.25" customHeight="1">
      <c r="A187" s="214"/>
      <c r="B187" s="215"/>
      <c r="C187" s="216"/>
      <c r="D187" s="216"/>
      <c r="E187" s="216"/>
      <c r="F187" s="216"/>
      <c r="G187" s="216"/>
      <c r="H187" s="216"/>
      <c r="I187" s="216"/>
      <c r="J187" s="216"/>
      <c r="K187" s="215"/>
      <c r="L187" s="216"/>
    </row>
    <row r="188" ht="14.25" customHeight="1">
      <c r="A188" s="214"/>
      <c r="B188" s="215"/>
      <c r="C188" s="216"/>
      <c r="D188" s="216"/>
      <c r="E188" s="216"/>
      <c r="F188" s="216"/>
      <c r="G188" s="216"/>
      <c r="H188" s="216"/>
      <c r="I188" s="216"/>
      <c r="J188" s="216"/>
      <c r="K188" s="215"/>
      <c r="L188" s="216"/>
    </row>
    <row r="189" ht="14.25" customHeight="1">
      <c r="A189" s="214"/>
      <c r="B189" s="215"/>
      <c r="C189" s="216"/>
      <c r="D189" s="216"/>
      <c r="E189" s="216"/>
      <c r="F189" s="216"/>
      <c r="G189" s="216"/>
      <c r="H189" s="216"/>
      <c r="I189" s="216"/>
      <c r="J189" s="216"/>
      <c r="K189" s="215"/>
      <c r="L189" s="216"/>
    </row>
    <row r="190" ht="14.25" customHeight="1">
      <c r="A190" s="214"/>
      <c r="B190" s="215"/>
      <c r="C190" s="216"/>
      <c r="D190" s="216"/>
      <c r="E190" s="216"/>
      <c r="F190" s="216"/>
      <c r="G190" s="216"/>
      <c r="H190" s="216"/>
      <c r="I190" s="216"/>
      <c r="J190" s="216"/>
      <c r="K190" s="215"/>
      <c r="L190" s="216"/>
    </row>
    <row r="191" ht="14.25" customHeight="1">
      <c r="A191" s="214"/>
      <c r="B191" s="215"/>
      <c r="C191" s="216"/>
      <c r="D191" s="216"/>
      <c r="E191" s="216"/>
      <c r="F191" s="216"/>
      <c r="G191" s="216"/>
      <c r="H191" s="216"/>
      <c r="I191" s="216"/>
      <c r="J191" s="216"/>
      <c r="K191" s="215"/>
      <c r="L191" s="216"/>
    </row>
    <row r="192" ht="14.25" customHeight="1">
      <c r="A192" s="214"/>
      <c r="B192" s="215"/>
      <c r="C192" s="216"/>
      <c r="D192" s="216"/>
      <c r="E192" s="216"/>
      <c r="F192" s="216"/>
      <c r="G192" s="216"/>
      <c r="H192" s="216"/>
      <c r="I192" s="216"/>
      <c r="J192" s="216"/>
      <c r="K192" s="215"/>
      <c r="L192" s="216"/>
    </row>
    <row r="193" ht="14.25" customHeight="1">
      <c r="A193" s="214"/>
      <c r="B193" s="215"/>
      <c r="C193" s="216"/>
      <c r="D193" s="216"/>
      <c r="E193" s="216"/>
      <c r="F193" s="216"/>
      <c r="G193" s="216"/>
      <c r="H193" s="216"/>
      <c r="I193" s="216"/>
      <c r="J193" s="216"/>
      <c r="K193" s="215"/>
      <c r="L193" s="216"/>
    </row>
    <row r="194" ht="14.25" customHeight="1">
      <c r="A194" s="214"/>
      <c r="B194" s="215"/>
      <c r="C194" s="216"/>
      <c r="D194" s="216"/>
      <c r="E194" s="216"/>
      <c r="F194" s="216"/>
      <c r="G194" s="216"/>
      <c r="H194" s="216"/>
      <c r="I194" s="216"/>
      <c r="J194" s="216"/>
      <c r="K194" s="215"/>
      <c r="L194" s="216"/>
    </row>
    <row r="195" ht="14.25" customHeight="1">
      <c r="A195" s="214"/>
      <c r="B195" s="215"/>
      <c r="C195" s="216"/>
      <c r="D195" s="216"/>
      <c r="E195" s="216"/>
      <c r="F195" s="216"/>
      <c r="G195" s="216"/>
      <c r="H195" s="216"/>
      <c r="I195" s="216"/>
      <c r="J195" s="216"/>
      <c r="K195" s="215"/>
      <c r="L195" s="216"/>
    </row>
    <row r="196" ht="14.25" customHeight="1">
      <c r="A196" s="214"/>
      <c r="B196" s="215"/>
      <c r="C196" s="216"/>
      <c r="D196" s="216"/>
      <c r="E196" s="216"/>
      <c r="F196" s="216"/>
      <c r="G196" s="216"/>
      <c r="H196" s="216"/>
      <c r="I196" s="216"/>
      <c r="J196" s="216"/>
      <c r="K196" s="215"/>
      <c r="L196" s="216"/>
    </row>
    <row r="197" ht="14.25" customHeight="1">
      <c r="A197" s="214"/>
      <c r="B197" s="215"/>
      <c r="C197" s="216"/>
      <c r="D197" s="216"/>
      <c r="E197" s="216"/>
      <c r="F197" s="216"/>
      <c r="G197" s="216"/>
      <c r="H197" s="216"/>
      <c r="I197" s="216"/>
      <c r="J197" s="216"/>
      <c r="K197" s="215"/>
      <c r="L197" s="216"/>
    </row>
    <row r="198" ht="14.25" customHeight="1">
      <c r="A198" s="214"/>
      <c r="B198" s="215"/>
      <c r="C198" s="216"/>
      <c r="D198" s="216"/>
      <c r="E198" s="216"/>
      <c r="F198" s="216"/>
      <c r="G198" s="216"/>
      <c r="H198" s="216"/>
      <c r="I198" s="216"/>
      <c r="J198" s="216"/>
      <c r="K198" s="215"/>
      <c r="L198" s="216"/>
    </row>
    <row r="199" ht="14.25" customHeight="1">
      <c r="A199" s="214"/>
      <c r="B199" s="215"/>
      <c r="C199" s="216"/>
      <c r="D199" s="216"/>
      <c r="E199" s="216"/>
      <c r="F199" s="216"/>
      <c r="G199" s="216"/>
      <c r="H199" s="216"/>
      <c r="I199" s="216"/>
      <c r="J199" s="216"/>
      <c r="K199" s="215"/>
      <c r="L199" s="216"/>
    </row>
    <row r="200" ht="14.25" customHeight="1">
      <c r="A200" s="214"/>
      <c r="B200" s="215"/>
      <c r="C200" s="216"/>
      <c r="D200" s="216"/>
      <c r="E200" s="216"/>
      <c r="F200" s="216"/>
      <c r="G200" s="216"/>
      <c r="H200" s="216"/>
      <c r="I200" s="216"/>
      <c r="J200" s="216"/>
      <c r="K200" s="215"/>
      <c r="L200" s="216"/>
    </row>
    <row r="201" ht="14.25" customHeight="1">
      <c r="A201" s="214"/>
      <c r="B201" s="215"/>
      <c r="C201" s="216"/>
      <c r="D201" s="216"/>
      <c r="E201" s="216"/>
      <c r="F201" s="216"/>
      <c r="G201" s="216"/>
      <c r="H201" s="216"/>
      <c r="I201" s="216"/>
      <c r="J201" s="216"/>
      <c r="K201" s="215"/>
      <c r="L201" s="216"/>
    </row>
    <row r="202" ht="14.25" customHeight="1">
      <c r="A202" s="214"/>
      <c r="B202" s="215"/>
      <c r="C202" s="216"/>
      <c r="D202" s="216"/>
      <c r="E202" s="216"/>
      <c r="F202" s="216"/>
      <c r="G202" s="216"/>
      <c r="H202" s="216"/>
      <c r="I202" s="216"/>
      <c r="J202" s="216"/>
      <c r="K202" s="215"/>
      <c r="L202" s="216"/>
    </row>
    <row r="203" ht="14.25" customHeight="1">
      <c r="A203" s="214"/>
      <c r="B203" s="215"/>
      <c r="C203" s="216"/>
      <c r="D203" s="216"/>
      <c r="E203" s="216"/>
      <c r="F203" s="216"/>
      <c r="G203" s="216"/>
      <c r="H203" s="216"/>
      <c r="I203" s="216"/>
      <c r="J203" s="216"/>
      <c r="K203" s="215"/>
      <c r="L203" s="216"/>
    </row>
    <row r="204" ht="14.25" customHeight="1">
      <c r="A204" s="214"/>
      <c r="B204" s="215"/>
      <c r="C204" s="216"/>
      <c r="D204" s="216"/>
      <c r="E204" s="216"/>
      <c r="F204" s="216"/>
      <c r="G204" s="216"/>
      <c r="H204" s="216"/>
      <c r="I204" s="216"/>
      <c r="J204" s="216"/>
      <c r="K204" s="215"/>
      <c r="L204" s="216"/>
    </row>
    <row r="205" ht="14.25" customHeight="1">
      <c r="A205" s="214"/>
      <c r="B205" s="215"/>
      <c r="C205" s="216"/>
      <c r="D205" s="216"/>
      <c r="E205" s="216"/>
      <c r="F205" s="216"/>
      <c r="G205" s="216"/>
      <c r="H205" s="216"/>
      <c r="I205" s="216"/>
      <c r="J205" s="216"/>
      <c r="K205" s="215"/>
      <c r="L205" s="216"/>
    </row>
    <row r="206" ht="14.25" customHeight="1">
      <c r="A206" s="214"/>
      <c r="B206" s="215"/>
      <c r="C206" s="216"/>
      <c r="D206" s="216"/>
      <c r="E206" s="216"/>
      <c r="F206" s="216"/>
      <c r="G206" s="216"/>
      <c r="H206" s="216"/>
      <c r="I206" s="216"/>
      <c r="J206" s="216"/>
      <c r="K206" s="215"/>
      <c r="L206" s="216"/>
    </row>
    <row r="207" ht="14.25" customHeight="1">
      <c r="A207" s="214"/>
      <c r="B207" s="215"/>
      <c r="C207" s="216"/>
      <c r="D207" s="216"/>
      <c r="E207" s="216"/>
      <c r="F207" s="216"/>
      <c r="G207" s="216"/>
      <c r="H207" s="216"/>
      <c r="I207" s="216"/>
      <c r="J207" s="216"/>
      <c r="K207" s="215"/>
      <c r="L207" s="216"/>
    </row>
    <row r="208" ht="14.25" customHeight="1">
      <c r="A208" s="214"/>
      <c r="B208" s="215"/>
      <c r="C208" s="216"/>
      <c r="D208" s="216"/>
      <c r="E208" s="216"/>
      <c r="F208" s="216"/>
      <c r="G208" s="216"/>
      <c r="H208" s="216"/>
      <c r="I208" s="216"/>
      <c r="J208" s="216"/>
      <c r="K208" s="215"/>
      <c r="L208" s="216"/>
    </row>
    <row r="209" ht="14.25" customHeight="1">
      <c r="A209" s="214"/>
      <c r="B209" s="215"/>
      <c r="C209" s="216"/>
      <c r="D209" s="216"/>
      <c r="E209" s="216"/>
      <c r="F209" s="216"/>
      <c r="G209" s="216"/>
      <c r="H209" s="216"/>
      <c r="I209" s="216"/>
      <c r="J209" s="216"/>
      <c r="K209" s="215"/>
      <c r="L209" s="216"/>
    </row>
    <row r="210" ht="14.25" customHeight="1">
      <c r="A210" s="214"/>
      <c r="B210" s="215"/>
      <c r="C210" s="216"/>
      <c r="D210" s="216"/>
      <c r="E210" s="216"/>
      <c r="F210" s="216"/>
      <c r="G210" s="216"/>
      <c r="H210" s="216"/>
      <c r="I210" s="216"/>
      <c r="J210" s="216"/>
      <c r="K210" s="215"/>
      <c r="L210" s="216"/>
    </row>
    <row r="211" ht="14.25" customHeight="1">
      <c r="A211" s="214"/>
      <c r="B211" s="215"/>
      <c r="C211" s="216"/>
      <c r="D211" s="216"/>
      <c r="E211" s="216"/>
      <c r="F211" s="216"/>
      <c r="G211" s="216"/>
      <c r="H211" s="216"/>
      <c r="I211" s="216"/>
      <c r="J211" s="216"/>
      <c r="K211" s="215"/>
      <c r="L211" s="216"/>
    </row>
    <row r="212" ht="14.25" customHeight="1">
      <c r="A212" s="214"/>
      <c r="B212" s="215"/>
      <c r="C212" s="216"/>
      <c r="D212" s="216"/>
      <c r="E212" s="216"/>
      <c r="F212" s="216"/>
      <c r="G212" s="216"/>
      <c r="H212" s="216"/>
      <c r="I212" s="216"/>
      <c r="J212" s="216"/>
      <c r="K212" s="215"/>
      <c r="L212" s="216"/>
    </row>
    <row r="213" ht="14.25" customHeight="1">
      <c r="A213" s="214"/>
      <c r="B213" s="215"/>
      <c r="C213" s="216"/>
      <c r="D213" s="216"/>
      <c r="E213" s="216"/>
      <c r="F213" s="216"/>
      <c r="G213" s="216"/>
      <c r="H213" s="216"/>
      <c r="I213" s="216"/>
      <c r="J213" s="216"/>
      <c r="K213" s="215"/>
      <c r="L213" s="216"/>
    </row>
    <row r="214" ht="14.25" customHeight="1">
      <c r="A214" s="214"/>
      <c r="B214" s="215"/>
      <c r="C214" s="216"/>
      <c r="D214" s="216"/>
      <c r="E214" s="216"/>
      <c r="F214" s="216"/>
      <c r="G214" s="216"/>
      <c r="H214" s="216"/>
      <c r="I214" s="216"/>
      <c r="J214" s="216"/>
      <c r="K214" s="215"/>
      <c r="L214" s="216"/>
    </row>
    <row r="215" ht="14.25" customHeight="1">
      <c r="A215" s="214"/>
      <c r="B215" s="215"/>
      <c r="C215" s="216"/>
      <c r="D215" s="216"/>
      <c r="E215" s="216"/>
      <c r="F215" s="216"/>
      <c r="G215" s="216"/>
      <c r="H215" s="216"/>
      <c r="I215" s="216"/>
      <c r="J215" s="216"/>
      <c r="K215" s="215"/>
      <c r="L215" s="216"/>
    </row>
    <row r="216" ht="14.25" customHeight="1">
      <c r="A216" s="214"/>
      <c r="B216" s="215"/>
      <c r="C216" s="216"/>
      <c r="D216" s="216"/>
      <c r="E216" s="216"/>
      <c r="F216" s="216"/>
      <c r="G216" s="216"/>
      <c r="H216" s="216"/>
      <c r="I216" s="216"/>
      <c r="J216" s="216"/>
      <c r="K216" s="215"/>
      <c r="L216" s="216"/>
    </row>
    <row r="217" ht="14.25" customHeight="1">
      <c r="A217" s="214"/>
      <c r="B217" s="215"/>
      <c r="C217" s="216"/>
      <c r="D217" s="216"/>
      <c r="E217" s="216"/>
      <c r="F217" s="216"/>
      <c r="G217" s="216"/>
      <c r="H217" s="216"/>
      <c r="I217" s="216"/>
      <c r="J217" s="216"/>
      <c r="K217" s="215"/>
      <c r="L217" s="216"/>
    </row>
    <row r="218" ht="14.25" customHeight="1">
      <c r="A218" s="214"/>
      <c r="B218" s="215"/>
      <c r="C218" s="216"/>
      <c r="D218" s="216"/>
      <c r="E218" s="216"/>
      <c r="F218" s="216"/>
      <c r="G218" s="216"/>
      <c r="H218" s="216"/>
      <c r="I218" s="216"/>
      <c r="J218" s="216"/>
      <c r="K218" s="215"/>
      <c r="L218" s="216"/>
    </row>
    <row r="219" ht="14.25" customHeight="1">
      <c r="A219" s="214"/>
      <c r="B219" s="215"/>
      <c r="C219" s="216"/>
      <c r="D219" s="216"/>
      <c r="E219" s="216"/>
      <c r="F219" s="216"/>
      <c r="G219" s="216"/>
      <c r="H219" s="216"/>
      <c r="I219" s="216"/>
      <c r="J219" s="216"/>
      <c r="K219" s="215"/>
      <c r="L219" s="216"/>
    </row>
    <row r="220" ht="14.25" customHeight="1">
      <c r="A220" s="214"/>
      <c r="B220" s="215"/>
      <c r="C220" s="216"/>
      <c r="D220" s="216"/>
      <c r="E220" s="216"/>
      <c r="F220" s="216"/>
      <c r="G220" s="216"/>
      <c r="H220" s="216"/>
      <c r="I220" s="216"/>
      <c r="J220" s="216"/>
      <c r="K220" s="215"/>
      <c r="L220" s="216"/>
    </row>
    <row r="221" ht="14.25" customHeight="1">
      <c r="A221" s="214"/>
      <c r="B221" s="215"/>
      <c r="C221" s="216"/>
      <c r="D221" s="216"/>
      <c r="E221" s="216"/>
      <c r="F221" s="216"/>
      <c r="G221" s="216"/>
      <c r="H221" s="216"/>
      <c r="I221" s="216"/>
      <c r="J221" s="216"/>
      <c r="K221" s="215"/>
      <c r="L221" s="216"/>
    </row>
    <row r="222" ht="14.25" customHeight="1">
      <c r="A222" s="214"/>
      <c r="B222" s="215"/>
      <c r="C222" s="216"/>
      <c r="D222" s="216"/>
      <c r="E222" s="216"/>
      <c r="F222" s="216"/>
      <c r="G222" s="216"/>
      <c r="H222" s="216"/>
      <c r="I222" s="216"/>
      <c r="J222" s="216"/>
      <c r="K222" s="215"/>
      <c r="L222" s="216"/>
    </row>
    <row r="223" ht="14.25" customHeight="1">
      <c r="A223" s="214"/>
      <c r="B223" s="215"/>
      <c r="C223" s="216"/>
      <c r="D223" s="216"/>
      <c r="E223" s="216"/>
      <c r="F223" s="216"/>
      <c r="G223" s="216"/>
      <c r="H223" s="216"/>
      <c r="I223" s="216"/>
      <c r="J223" s="216"/>
      <c r="K223" s="215"/>
      <c r="L223" s="216"/>
    </row>
    <row r="224" ht="14.25" customHeight="1">
      <c r="A224" s="214"/>
      <c r="B224" s="215"/>
      <c r="C224" s="216"/>
      <c r="D224" s="216"/>
      <c r="E224" s="216"/>
      <c r="F224" s="216"/>
      <c r="G224" s="216"/>
      <c r="H224" s="216"/>
      <c r="I224" s="216"/>
      <c r="J224" s="216"/>
      <c r="K224" s="215"/>
      <c r="L224" s="216"/>
    </row>
    <row r="225" ht="14.25" customHeight="1">
      <c r="A225" s="214"/>
      <c r="B225" s="215"/>
      <c r="C225" s="216"/>
      <c r="D225" s="216"/>
      <c r="E225" s="216"/>
      <c r="F225" s="216"/>
      <c r="G225" s="216"/>
      <c r="H225" s="216"/>
      <c r="I225" s="216"/>
      <c r="J225" s="216"/>
      <c r="K225" s="215"/>
      <c r="L225" s="216"/>
    </row>
    <row r="226" ht="14.25" customHeight="1">
      <c r="A226" s="214"/>
      <c r="B226" s="215"/>
      <c r="C226" s="216"/>
      <c r="D226" s="216"/>
      <c r="E226" s="216"/>
      <c r="F226" s="216"/>
      <c r="G226" s="216"/>
      <c r="H226" s="216"/>
      <c r="I226" s="216"/>
      <c r="J226" s="216"/>
      <c r="K226" s="215"/>
      <c r="L226" s="216"/>
    </row>
    <row r="227" ht="14.25" customHeight="1">
      <c r="A227" s="214"/>
      <c r="B227" s="215"/>
      <c r="C227" s="216"/>
      <c r="D227" s="216"/>
      <c r="E227" s="216"/>
      <c r="F227" s="216"/>
      <c r="G227" s="216"/>
      <c r="H227" s="216"/>
      <c r="I227" s="216"/>
      <c r="J227" s="216"/>
      <c r="K227" s="215"/>
      <c r="L227" s="216"/>
    </row>
    <row r="228" ht="14.25" customHeight="1">
      <c r="A228" s="214"/>
      <c r="B228" s="215"/>
      <c r="C228" s="216"/>
      <c r="D228" s="216"/>
      <c r="E228" s="216"/>
      <c r="F228" s="216"/>
      <c r="G228" s="216"/>
      <c r="H228" s="216"/>
      <c r="I228" s="216"/>
      <c r="J228" s="216"/>
      <c r="K228" s="215"/>
      <c r="L228" s="216"/>
    </row>
    <row r="229" ht="14.25" customHeight="1">
      <c r="A229" s="214"/>
      <c r="B229" s="215"/>
      <c r="C229" s="216"/>
      <c r="D229" s="216"/>
      <c r="E229" s="216"/>
      <c r="F229" s="216"/>
      <c r="G229" s="216"/>
      <c r="H229" s="216"/>
      <c r="I229" s="216"/>
      <c r="J229" s="216"/>
      <c r="K229" s="215"/>
      <c r="L229" s="216"/>
    </row>
    <row r="230" ht="14.25" customHeight="1">
      <c r="A230" s="214"/>
      <c r="B230" s="215"/>
      <c r="C230" s="216"/>
      <c r="D230" s="216"/>
      <c r="E230" s="216"/>
      <c r="F230" s="216"/>
      <c r="G230" s="216"/>
      <c r="H230" s="216"/>
      <c r="I230" s="216"/>
      <c r="J230" s="216"/>
      <c r="K230" s="215"/>
      <c r="L230" s="216"/>
    </row>
    <row r="231" ht="14.25" customHeight="1">
      <c r="A231" s="214"/>
      <c r="B231" s="215"/>
      <c r="C231" s="216"/>
      <c r="D231" s="216"/>
      <c r="E231" s="216"/>
      <c r="F231" s="216"/>
      <c r="G231" s="216"/>
      <c r="H231" s="216"/>
      <c r="I231" s="216"/>
      <c r="J231" s="216"/>
      <c r="K231" s="215"/>
      <c r="L231" s="216"/>
    </row>
    <row r="232" ht="14.25" customHeight="1">
      <c r="A232" s="214"/>
      <c r="B232" s="215"/>
      <c r="C232" s="216"/>
      <c r="D232" s="216"/>
      <c r="E232" s="216"/>
      <c r="F232" s="216"/>
      <c r="G232" s="216"/>
      <c r="H232" s="216"/>
      <c r="I232" s="216"/>
      <c r="J232" s="216"/>
      <c r="K232" s="215"/>
      <c r="L232" s="216"/>
    </row>
    <row r="233" ht="14.25" customHeight="1">
      <c r="A233" s="214"/>
      <c r="B233" s="215"/>
      <c r="C233" s="216"/>
      <c r="D233" s="216"/>
      <c r="E233" s="216"/>
      <c r="F233" s="216"/>
      <c r="G233" s="216"/>
      <c r="H233" s="216"/>
      <c r="I233" s="216"/>
      <c r="J233" s="216"/>
      <c r="K233" s="215"/>
      <c r="L233" s="216"/>
    </row>
    <row r="234" ht="14.25" customHeight="1">
      <c r="A234" s="214"/>
      <c r="B234" s="215"/>
      <c r="C234" s="216"/>
      <c r="D234" s="216"/>
      <c r="E234" s="216"/>
      <c r="F234" s="216"/>
      <c r="G234" s="216"/>
      <c r="H234" s="216"/>
      <c r="I234" s="216"/>
      <c r="J234" s="216"/>
      <c r="K234" s="215"/>
      <c r="L234" s="216"/>
    </row>
    <row r="235" ht="14.25" customHeight="1">
      <c r="A235" s="214"/>
      <c r="B235" s="215"/>
      <c r="C235" s="216"/>
      <c r="D235" s="216"/>
      <c r="E235" s="216"/>
      <c r="F235" s="216"/>
      <c r="G235" s="216"/>
      <c r="H235" s="216"/>
      <c r="I235" s="216"/>
      <c r="J235" s="216"/>
      <c r="K235" s="215"/>
      <c r="L235" s="216"/>
    </row>
    <row r="236" ht="14.25" customHeight="1">
      <c r="A236" s="214"/>
      <c r="B236" s="215"/>
      <c r="C236" s="216"/>
      <c r="D236" s="216"/>
      <c r="E236" s="216"/>
      <c r="F236" s="216"/>
      <c r="G236" s="216"/>
      <c r="H236" s="216"/>
      <c r="I236" s="216"/>
      <c r="J236" s="216"/>
      <c r="K236" s="215"/>
      <c r="L236" s="216"/>
    </row>
    <row r="237" ht="14.25" customHeight="1">
      <c r="A237" s="214"/>
      <c r="B237" s="215"/>
      <c r="C237" s="216"/>
      <c r="D237" s="216"/>
      <c r="E237" s="216"/>
      <c r="F237" s="216"/>
      <c r="G237" s="216"/>
      <c r="H237" s="216"/>
      <c r="I237" s="216"/>
      <c r="J237" s="216"/>
      <c r="K237" s="215"/>
      <c r="L237" s="216"/>
    </row>
    <row r="238" ht="14.25" customHeight="1">
      <c r="A238" s="214"/>
      <c r="B238" s="215"/>
      <c r="C238" s="216"/>
      <c r="D238" s="216"/>
      <c r="E238" s="216"/>
      <c r="F238" s="216"/>
      <c r="G238" s="216"/>
      <c r="H238" s="216"/>
      <c r="I238" s="216"/>
      <c r="J238" s="216"/>
      <c r="K238" s="215"/>
      <c r="L238" s="216"/>
    </row>
    <row r="239" ht="14.25" customHeight="1">
      <c r="A239" s="214"/>
      <c r="B239" s="215"/>
      <c r="C239" s="216"/>
      <c r="D239" s="216"/>
      <c r="E239" s="216"/>
      <c r="F239" s="216"/>
      <c r="G239" s="216"/>
      <c r="H239" s="216"/>
      <c r="I239" s="216"/>
      <c r="J239" s="216"/>
      <c r="K239" s="215"/>
      <c r="L239" s="216"/>
    </row>
    <row r="240" ht="14.25" customHeight="1">
      <c r="A240" s="214"/>
      <c r="B240" s="215"/>
      <c r="C240" s="216"/>
      <c r="D240" s="216"/>
      <c r="E240" s="216"/>
      <c r="F240" s="216"/>
      <c r="G240" s="216"/>
      <c r="H240" s="216"/>
      <c r="I240" s="216"/>
      <c r="J240" s="216"/>
      <c r="K240" s="215"/>
      <c r="L240" s="216"/>
    </row>
    <row r="241" ht="14.25" customHeight="1">
      <c r="A241" s="214"/>
      <c r="B241" s="215"/>
      <c r="C241" s="216"/>
      <c r="D241" s="216"/>
      <c r="E241" s="216"/>
      <c r="F241" s="216"/>
      <c r="G241" s="216"/>
      <c r="H241" s="216"/>
      <c r="I241" s="216"/>
      <c r="J241" s="216"/>
      <c r="K241" s="215"/>
      <c r="L241" s="216"/>
    </row>
    <row r="242" ht="14.25" customHeight="1">
      <c r="A242" s="214"/>
      <c r="B242" s="215"/>
      <c r="C242" s="216"/>
      <c r="D242" s="216"/>
      <c r="E242" s="216"/>
      <c r="F242" s="216"/>
      <c r="G242" s="216"/>
      <c r="H242" s="216"/>
      <c r="I242" s="216"/>
      <c r="J242" s="216"/>
      <c r="K242" s="215"/>
      <c r="L242" s="216"/>
    </row>
    <row r="243" ht="14.25" customHeight="1">
      <c r="A243" s="214"/>
      <c r="B243" s="215"/>
      <c r="C243" s="216"/>
      <c r="D243" s="216"/>
      <c r="E243" s="216"/>
      <c r="F243" s="216"/>
      <c r="G243" s="216"/>
      <c r="H243" s="216"/>
      <c r="I243" s="216"/>
      <c r="J243" s="216"/>
      <c r="K243" s="215"/>
      <c r="L243" s="216"/>
    </row>
    <row r="244" ht="14.25" customHeight="1">
      <c r="A244" s="214"/>
      <c r="B244" s="215"/>
      <c r="C244" s="216"/>
      <c r="D244" s="216"/>
      <c r="E244" s="216"/>
      <c r="F244" s="216"/>
      <c r="G244" s="216"/>
      <c r="H244" s="216"/>
      <c r="I244" s="216"/>
      <c r="J244" s="216"/>
      <c r="K244" s="215"/>
      <c r="L244" s="216"/>
    </row>
    <row r="245" ht="14.25" customHeight="1">
      <c r="A245" s="214"/>
      <c r="B245" s="215"/>
      <c r="C245" s="216"/>
      <c r="D245" s="216"/>
      <c r="E245" s="216"/>
      <c r="F245" s="216"/>
      <c r="G245" s="216"/>
      <c r="H245" s="216"/>
      <c r="I245" s="216"/>
      <c r="J245" s="216"/>
      <c r="K245" s="215"/>
      <c r="L245" s="216"/>
    </row>
    <row r="246" ht="14.25" customHeight="1">
      <c r="A246" s="214"/>
      <c r="B246" s="215"/>
      <c r="C246" s="216"/>
      <c r="D246" s="216"/>
      <c r="E246" s="216"/>
      <c r="F246" s="216"/>
      <c r="G246" s="216"/>
      <c r="H246" s="216"/>
      <c r="I246" s="216"/>
      <c r="J246" s="216"/>
      <c r="K246" s="215"/>
      <c r="L246" s="216"/>
    </row>
    <row r="247" ht="14.25" customHeight="1">
      <c r="A247" s="214"/>
      <c r="B247" s="215"/>
      <c r="C247" s="216"/>
      <c r="D247" s="216"/>
      <c r="E247" s="216"/>
      <c r="F247" s="216"/>
      <c r="G247" s="216"/>
      <c r="H247" s="216"/>
      <c r="I247" s="216"/>
      <c r="J247" s="216"/>
      <c r="K247" s="215"/>
      <c r="L247" s="216"/>
    </row>
    <row r="248" ht="14.25" customHeight="1">
      <c r="A248" s="214"/>
      <c r="B248" s="215"/>
      <c r="C248" s="216"/>
      <c r="D248" s="216"/>
      <c r="E248" s="216"/>
      <c r="F248" s="216"/>
      <c r="G248" s="216"/>
      <c r="H248" s="216"/>
      <c r="I248" s="216"/>
      <c r="J248" s="216"/>
      <c r="K248" s="215"/>
      <c r="L248" s="216"/>
    </row>
    <row r="249" ht="14.25" customHeight="1">
      <c r="A249" s="214"/>
      <c r="B249" s="215"/>
      <c r="C249" s="216"/>
      <c r="D249" s="216"/>
      <c r="E249" s="216"/>
      <c r="F249" s="216"/>
      <c r="G249" s="216"/>
      <c r="H249" s="216"/>
      <c r="I249" s="216"/>
      <c r="J249" s="216"/>
      <c r="K249" s="215"/>
      <c r="L249" s="216"/>
    </row>
    <row r="250" ht="14.25" customHeight="1">
      <c r="A250" s="214"/>
      <c r="B250" s="215"/>
      <c r="C250" s="216"/>
      <c r="D250" s="216"/>
      <c r="E250" s="216"/>
      <c r="F250" s="216"/>
      <c r="G250" s="216"/>
      <c r="H250" s="216"/>
      <c r="I250" s="216"/>
      <c r="J250" s="216"/>
      <c r="K250" s="215"/>
      <c r="L250" s="216"/>
    </row>
    <row r="251" ht="14.25" customHeight="1">
      <c r="A251" s="214"/>
      <c r="B251" s="215"/>
      <c r="C251" s="216"/>
      <c r="D251" s="216"/>
      <c r="E251" s="216"/>
      <c r="F251" s="216"/>
      <c r="G251" s="216"/>
      <c r="H251" s="216"/>
      <c r="I251" s="216"/>
      <c r="J251" s="216"/>
      <c r="K251" s="215"/>
      <c r="L251" s="216"/>
    </row>
    <row r="252" ht="14.25" customHeight="1">
      <c r="A252" s="214"/>
      <c r="B252" s="215"/>
      <c r="C252" s="216"/>
      <c r="D252" s="216"/>
      <c r="E252" s="216"/>
      <c r="F252" s="216"/>
      <c r="G252" s="216"/>
      <c r="H252" s="216"/>
      <c r="I252" s="216"/>
      <c r="J252" s="216"/>
      <c r="K252" s="215"/>
      <c r="L252" s="216"/>
    </row>
    <row r="253" ht="14.25" customHeight="1">
      <c r="A253" s="214"/>
      <c r="B253" s="215"/>
      <c r="C253" s="216"/>
      <c r="D253" s="216"/>
      <c r="E253" s="216"/>
      <c r="F253" s="216"/>
      <c r="G253" s="216"/>
      <c r="H253" s="216"/>
      <c r="I253" s="216"/>
      <c r="J253" s="216"/>
      <c r="K253" s="215"/>
      <c r="L253" s="216"/>
    </row>
    <row r="254" ht="15.75" customHeight="1">
      <c r="A254" s="217"/>
    </row>
    <row r="255" ht="15.75" customHeight="1">
      <c r="A255" s="217"/>
    </row>
    <row r="256" ht="15.75" customHeight="1">
      <c r="A256" s="217"/>
    </row>
    <row r="257" ht="15.75" customHeight="1">
      <c r="A257" s="217"/>
    </row>
    <row r="258" ht="15.75" customHeight="1">
      <c r="A258" s="217"/>
    </row>
    <row r="259" ht="15.75" customHeight="1">
      <c r="A259" s="217"/>
    </row>
    <row r="260" ht="15.75" customHeight="1">
      <c r="A260" s="217"/>
    </row>
    <row r="261" ht="15.75" customHeight="1">
      <c r="A261" s="217"/>
    </row>
    <row r="262" ht="15.75" customHeight="1">
      <c r="A262" s="217"/>
    </row>
    <row r="263" ht="15.75" customHeight="1">
      <c r="A263" s="217"/>
    </row>
    <row r="264" ht="15.75" customHeight="1">
      <c r="A264" s="217"/>
    </row>
    <row r="265" ht="15.75" customHeight="1">
      <c r="A265" s="217"/>
    </row>
    <row r="266" ht="15.75" customHeight="1">
      <c r="A266" s="217"/>
    </row>
    <row r="267" ht="15.75" customHeight="1">
      <c r="A267" s="217"/>
    </row>
    <row r="268" ht="15.75" customHeight="1">
      <c r="A268" s="217"/>
    </row>
    <row r="269" ht="15.75" customHeight="1">
      <c r="A269" s="217"/>
    </row>
    <row r="270" ht="15.75" customHeight="1">
      <c r="A270" s="217"/>
    </row>
    <row r="271" ht="15.75" customHeight="1">
      <c r="A271" s="217"/>
    </row>
    <row r="272" ht="15.75" customHeight="1">
      <c r="A272" s="217"/>
    </row>
    <row r="273" ht="15.75" customHeight="1">
      <c r="A273" s="217"/>
    </row>
    <row r="274" ht="15.75" customHeight="1">
      <c r="A274" s="217"/>
    </row>
    <row r="275" ht="15.75" customHeight="1">
      <c r="A275" s="217"/>
    </row>
    <row r="276" ht="15.75" customHeight="1">
      <c r="A276" s="217"/>
    </row>
    <row r="277" ht="15.75" customHeight="1">
      <c r="A277" s="217"/>
    </row>
    <row r="278" ht="15.75" customHeight="1">
      <c r="A278" s="217"/>
    </row>
    <row r="279" ht="15.75" customHeight="1">
      <c r="A279" s="217"/>
    </row>
    <row r="280" ht="15.75" customHeight="1">
      <c r="A280" s="217"/>
    </row>
    <row r="281" ht="15.75" customHeight="1">
      <c r="A281" s="217"/>
    </row>
    <row r="282" ht="15.75" customHeight="1">
      <c r="A282" s="217"/>
    </row>
    <row r="283" ht="15.75" customHeight="1">
      <c r="A283" s="217"/>
    </row>
    <row r="284" ht="15.75" customHeight="1">
      <c r="A284" s="217"/>
    </row>
    <row r="285" ht="15.75" customHeight="1">
      <c r="A285" s="217"/>
    </row>
    <row r="286" ht="15.75" customHeight="1">
      <c r="A286" s="217"/>
    </row>
    <row r="287" ht="15.75" customHeight="1">
      <c r="A287" s="217"/>
    </row>
    <row r="288" ht="15.75" customHeight="1">
      <c r="A288" s="217"/>
    </row>
    <row r="289" ht="15.75" customHeight="1">
      <c r="A289" s="217"/>
    </row>
    <row r="290" ht="15.75" customHeight="1">
      <c r="A290" s="217"/>
    </row>
    <row r="291" ht="15.75" customHeight="1">
      <c r="A291" s="217"/>
    </row>
    <row r="292" ht="15.75" customHeight="1">
      <c r="A292" s="217"/>
    </row>
    <row r="293" ht="15.75" customHeight="1">
      <c r="A293" s="217"/>
    </row>
    <row r="294" ht="15.75" customHeight="1">
      <c r="A294" s="217"/>
    </row>
    <row r="295" ht="15.75" customHeight="1">
      <c r="A295" s="217"/>
    </row>
    <row r="296" ht="15.75" customHeight="1">
      <c r="A296" s="217"/>
    </row>
    <row r="297" ht="15.75" customHeight="1">
      <c r="A297" s="217"/>
    </row>
    <row r="298" ht="15.75" customHeight="1">
      <c r="A298" s="217"/>
    </row>
    <row r="299" ht="15.75" customHeight="1">
      <c r="A299" s="217"/>
    </row>
    <row r="300" ht="15.75" customHeight="1">
      <c r="A300" s="217"/>
    </row>
    <row r="301" ht="15.75" customHeight="1">
      <c r="A301" s="217"/>
    </row>
    <row r="302" ht="15.75" customHeight="1">
      <c r="A302" s="217"/>
    </row>
    <row r="303" ht="15.75" customHeight="1">
      <c r="A303" s="217"/>
    </row>
    <row r="304" ht="15.75" customHeight="1">
      <c r="A304" s="217"/>
    </row>
    <row r="305" ht="15.75" customHeight="1">
      <c r="A305" s="217"/>
    </row>
    <row r="306" ht="15.75" customHeight="1">
      <c r="A306" s="217"/>
    </row>
    <row r="307" ht="15.75" customHeight="1">
      <c r="A307" s="217"/>
    </row>
    <row r="308" ht="15.75" customHeight="1">
      <c r="A308" s="217"/>
    </row>
    <row r="309" ht="15.75" customHeight="1">
      <c r="A309" s="217"/>
    </row>
    <row r="310" ht="15.75" customHeight="1">
      <c r="A310" s="217"/>
    </row>
    <row r="311" ht="15.75" customHeight="1">
      <c r="A311" s="217"/>
    </row>
    <row r="312" ht="15.75" customHeight="1">
      <c r="A312" s="217"/>
    </row>
    <row r="313" ht="15.75" customHeight="1">
      <c r="A313" s="217"/>
    </row>
    <row r="314" ht="15.75" customHeight="1">
      <c r="A314" s="217"/>
    </row>
    <row r="315" ht="15.75" customHeight="1">
      <c r="A315" s="217"/>
    </row>
    <row r="316" ht="15.75" customHeight="1">
      <c r="A316" s="217"/>
    </row>
    <row r="317" ht="15.75" customHeight="1">
      <c r="A317" s="217"/>
    </row>
    <row r="318" ht="15.75" customHeight="1">
      <c r="A318" s="217"/>
    </row>
    <row r="319" ht="15.75" customHeight="1">
      <c r="A319" s="217"/>
    </row>
    <row r="320" ht="15.75" customHeight="1">
      <c r="A320" s="217"/>
    </row>
    <row r="321" ht="15.75" customHeight="1">
      <c r="A321" s="217"/>
    </row>
    <row r="322" ht="15.75" customHeight="1">
      <c r="A322" s="217"/>
    </row>
    <row r="323" ht="15.75" customHeight="1">
      <c r="A323" s="217"/>
    </row>
    <row r="324" ht="15.75" customHeight="1">
      <c r="A324" s="217"/>
    </row>
    <row r="325" ht="15.75" customHeight="1">
      <c r="A325" s="217"/>
    </row>
    <row r="326" ht="15.75" customHeight="1">
      <c r="A326" s="217"/>
    </row>
    <row r="327" ht="15.75" customHeight="1">
      <c r="A327" s="217"/>
    </row>
    <row r="328" ht="15.75" customHeight="1">
      <c r="A328" s="217"/>
    </row>
    <row r="329" ht="15.75" customHeight="1">
      <c r="A329" s="217"/>
    </row>
    <row r="330" ht="15.75" customHeight="1">
      <c r="A330" s="217"/>
    </row>
    <row r="331" ht="15.75" customHeight="1">
      <c r="A331" s="217"/>
    </row>
    <row r="332" ht="15.75" customHeight="1">
      <c r="A332" s="217"/>
    </row>
    <row r="333" ht="15.75" customHeight="1">
      <c r="A333" s="217"/>
    </row>
    <row r="334" ht="15.75" customHeight="1">
      <c r="A334" s="217"/>
    </row>
    <row r="335" ht="15.75" customHeight="1">
      <c r="A335" s="217"/>
    </row>
    <row r="336" ht="15.75" customHeight="1">
      <c r="A336" s="217"/>
    </row>
    <row r="337" ht="15.75" customHeight="1">
      <c r="A337" s="217"/>
    </row>
    <row r="338" ht="15.75" customHeight="1">
      <c r="A338" s="217"/>
    </row>
    <row r="339" ht="15.75" customHeight="1">
      <c r="A339" s="217"/>
    </row>
    <row r="340" ht="15.75" customHeight="1">
      <c r="A340" s="217"/>
    </row>
    <row r="341" ht="15.75" customHeight="1">
      <c r="A341" s="217"/>
    </row>
    <row r="342" ht="15.75" customHeight="1">
      <c r="A342" s="217"/>
    </row>
    <row r="343" ht="15.75" customHeight="1">
      <c r="A343" s="217"/>
    </row>
    <row r="344" ht="15.75" customHeight="1">
      <c r="A344" s="217"/>
    </row>
    <row r="345" ht="15.75" customHeight="1">
      <c r="A345" s="217"/>
    </row>
    <row r="346" ht="15.75" customHeight="1">
      <c r="A346" s="217"/>
    </row>
    <row r="347" ht="15.75" customHeight="1">
      <c r="A347" s="217"/>
    </row>
    <row r="348" ht="15.75" customHeight="1">
      <c r="A348" s="217"/>
    </row>
    <row r="349" ht="15.75" customHeight="1">
      <c r="A349" s="217"/>
    </row>
    <row r="350" ht="15.75" customHeight="1">
      <c r="A350" s="217"/>
    </row>
    <row r="351" ht="15.75" customHeight="1">
      <c r="A351" s="217"/>
    </row>
    <row r="352" ht="15.75" customHeight="1">
      <c r="A352" s="217"/>
    </row>
    <row r="353" ht="15.75" customHeight="1">
      <c r="A353" s="217"/>
    </row>
    <row r="354" ht="15.75" customHeight="1">
      <c r="A354" s="217"/>
    </row>
    <row r="355" ht="15.75" customHeight="1">
      <c r="A355" s="217"/>
    </row>
    <row r="356" ht="15.75" customHeight="1">
      <c r="A356" s="217"/>
    </row>
    <row r="357" ht="15.75" customHeight="1">
      <c r="A357" s="217"/>
    </row>
    <row r="358" ht="15.75" customHeight="1">
      <c r="A358" s="217"/>
    </row>
    <row r="359" ht="15.75" customHeight="1">
      <c r="A359" s="217"/>
    </row>
    <row r="360" ht="15.75" customHeight="1">
      <c r="A360" s="217"/>
    </row>
    <row r="361" ht="15.75" customHeight="1">
      <c r="A361" s="217"/>
    </row>
    <row r="362" ht="15.75" customHeight="1">
      <c r="A362" s="217"/>
    </row>
    <row r="363" ht="15.75" customHeight="1">
      <c r="A363" s="217"/>
    </row>
    <row r="364" ht="15.75" customHeight="1">
      <c r="A364" s="217"/>
    </row>
    <row r="365" ht="15.75" customHeight="1">
      <c r="A365" s="217"/>
    </row>
    <row r="366" ht="15.75" customHeight="1">
      <c r="A366" s="217"/>
    </row>
    <row r="367" ht="15.75" customHeight="1">
      <c r="A367" s="217"/>
    </row>
    <row r="368" ht="15.75" customHeight="1">
      <c r="A368" s="217"/>
    </row>
    <row r="369" ht="15.75" customHeight="1">
      <c r="A369" s="217"/>
    </row>
    <row r="370" ht="15.75" customHeight="1">
      <c r="A370" s="217"/>
    </row>
    <row r="371" ht="15.75" customHeight="1">
      <c r="A371" s="217"/>
    </row>
    <row r="372" ht="15.75" customHeight="1">
      <c r="A372" s="217"/>
    </row>
    <row r="373" ht="15.75" customHeight="1">
      <c r="A373" s="217"/>
    </row>
    <row r="374" ht="15.75" customHeight="1">
      <c r="A374" s="217"/>
    </row>
    <row r="375" ht="15.75" customHeight="1">
      <c r="A375" s="217"/>
    </row>
    <row r="376" ht="15.75" customHeight="1">
      <c r="A376" s="217"/>
    </row>
    <row r="377" ht="15.75" customHeight="1">
      <c r="A377" s="217"/>
    </row>
    <row r="378" ht="15.75" customHeight="1">
      <c r="A378" s="217"/>
    </row>
    <row r="379" ht="15.75" customHeight="1">
      <c r="A379" s="217"/>
    </row>
    <row r="380" ht="15.75" customHeight="1">
      <c r="A380" s="217"/>
    </row>
    <row r="381" ht="15.75" customHeight="1">
      <c r="A381" s="217"/>
    </row>
    <row r="382" ht="15.75" customHeight="1">
      <c r="A382" s="217"/>
    </row>
    <row r="383" ht="15.75" customHeight="1">
      <c r="A383" s="217"/>
    </row>
    <row r="384" ht="15.75" customHeight="1">
      <c r="A384" s="217"/>
    </row>
    <row r="385" ht="15.75" customHeight="1">
      <c r="A385" s="217"/>
    </row>
    <row r="386" ht="15.75" customHeight="1">
      <c r="A386" s="217"/>
    </row>
    <row r="387" ht="15.75" customHeight="1">
      <c r="A387" s="217"/>
    </row>
    <row r="388" ht="15.75" customHeight="1">
      <c r="A388" s="217"/>
    </row>
    <row r="389" ht="15.75" customHeight="1">
      <c r="A389" s="217"/>
    </row>
    <row r="390" ht="15.75" customHeight="1">
      <c r="A390" s="217"/>
    </row>
    <row r="391" ht="15.75" customHeight="1">
      <c r="A391" s="217"/>
    </row>
    <row r="392" ht="15.75" customHeight="1">
      <c r="A392" s="217"/>
    </row>
    <row r="393" ht="15.75" customHeight="1">
      <c r="A393" s="217"/>
    </row>
    <row r="394" ht="15.75" customHeight="1">
      <c r="A394" s="217"/>
    </row>
    <row r="395" ht="15.75" customHeight="1">
      <c r="A395" s="217"/>
    </row>
    <row r="396" ht="15.75" customHeight="1">
      <c r="A396" s="217"/>
    </row>
    <row r="397" ht="15.75" customHeight="1">
      <c r="A397" s="217"/>
    </row>
    <row r="398" ht="15.75" customHeight="1">
      <c r="A398" s="217"/>
    </row>
    <row r="399" ht="15.75" customHeight="1">
      <c r="A399" s="217"/>
    </row>
    <row r="400" ht="15.75" customHeight="1">
      <c r="A400" s="217"/>
    </row>
    <row r="401" ht="15.75" customHeight="1">
      <c r="A401" s="217"/>
    </row>
    <row r="402" ht="15.75" customHeight="1">
      <c r="A402" s="217"/>
    </row>
    <row r="403" ht="15.75" customHeight="1">
      <c r="A403" s="217"/>
    </row>
    <row r="404" ht="15.75" customHeight="1">
      <c r="A404" s="217"/>
    </row>
    <row r="405" ht="15.75" customHeight="1">
      <c r="A405" s="217"/>
    </row>
    <row r="406" ht="15.75" customHeight="1">
      <c r="A406" s="217"/>
    </row>
    <row r="407" ht="15.75" customHeight="1">
      <c r="A407" s="217"/>
    </row>
    <row r="408" ht="15.75" customHeight="1">
      <c r="A408" s="217"/>
    </row>
    <row r="409" ht="15.75" customHeight="1">
      <c r="A409" s="217"/>
    </row>
    <row r="410" ht="15.75" customHeight="1">
      <c r="A410" s="217"/>
    </row>
    <row r="411" ht="15.75" customHeight="1">
      <c r="A411" s="217"/>
    </row>
    <row r="412" ht="15.75" customHeight="1">
      <c r="A412" s="217"/>
    </row>
    <row r="413" ht="15.75" customHeight="1">
      <c r="A413" s="217"/>
    </row>
    <row r="414" ht="15.75" customHeight="1">
      <c r="A414" s="217"/>
    </row>
    <row r="415" ht="15.75" customHeight="1">
      <c r="A415" s="217"/>
    </row>
    <row r="416" ht="15.75" customHeight="1">
      <c r="A416" s="217"/>
    </row>
    <row r="417" ht="15.75" customHeight="1">
      <c r="A417" s="217"/>
    </row>
    <row r="418" ht="15.75" customHeight="1">
      <c r="A418" s="217"/>
    </row>
    <row r="419" ht="15.75" customHeight="1">
      <c r="A419" s="217"/>
    </row>
    <row r="420" ht="15.75" customHeight="1">
      <c r="A420" s="217"/>
    </row>
    <row r="421" ht="15.75" customHeight="1">
      <c r="A421" s="217"/>
    </row>
    <row r="422" ht="15.75" customHeight="1">
      <c r="A422" s="217"/>
    </row>
    <row r="423" ht="15.75" customHeight="1">
      <c r="A423" s="217"/>
    </row>
    <row r="424" ht="15.75" customHeight="1">
      <c r="A424" s="217"/>
    </row>
    <row r="425" ht="15.75" customHeight="1">
      <c r="A425" s="217"/>
    </row>
    <row r="426" ht="15.75" customHeight="1">
      <c r="A426" s="217"/>
    </row>
    <row r="427" ht="15.75" customHeight="1">
      <c r="A427" s="217"/>
    </row>
    <row r="428" ht="15.75" customHeight="1">
      <c r="A428" s="217"/>
    </row>
    <row r="429" ht="15.75" customHeight="1">
      <c r="A429" s="217"/>
    </row>
    <row r="430" ht="15.75" customHeight="1">
      <c r="A430" s="217"/>
    </row>
    <row r="431" ht="15.75" customHeight="1">
      <c r="A431" s="217"/>
    </row>
    <row r="432" ht="15.75" customHeight="1">
      <c r="A432" s="217"/>
    </row>
    <row r="433" ht="15.75" customHeight="1">
      <c r="A433" s="217"/>
    </row>
    <row r="434" ht="15.75" customHeight="1">
      <c r="A434" s="217"/>
    </row>
    <row r="435" ht="15.75" customHeight="1">
      <c r="A435" s="217"/>
    </row>
    <row r="436" ht="15.75" customHeight="1">
      <c r="A436" s="217"/>
    </row>
    <row r="437" ht="15.75" customHeight="1">
      <c r="A437" s="217"/>
    </row>
    <row r="438" ht="15.75" customHeight="1">
      <c r="A438" s="217"/>
    </row>
    <row r="439" ht="15.75" customHeight="1">
      <c r="A439" s="217"/>
    </row>
    <row r="440" ht="15.75" customHeight="1">
      <c r="A440" s="217"/>
    </row>
    <row r="441" ht="15.75" customHeight="1">
      <c r="A441" s="217"/>
    </row>
    <row r="442" ht="15.75" customHeight="1">
      <c r="A442" s="217"/>
    </row>
    <row r="443" ht="15.75" customHeight="1">
      <c r="A443" s="217"/>
    </row>
    <row r="444" ht="15.75" customHeight="1">
      <c r="A444" s="217"/>
    </row>
    <row r="445" ht="15.75" customHeight="1">
      <c r="A445" s="217"/>
    </row>
    <row r="446" ht="15.75" customHeight="1">
      <c r="A446" s="217"/>
    </row>
    <row r="447" ht="15.75" customHeight="1">
      <c r="A447" s="217"/>
    </row>
    <row r="448" ht="15.75" customHeight="1">
      <c r="A448" s="217"/>
    </row>
    <row r="449" ht="15.75" customHeight="1">
      <c r="A449" s="217"/>
    </row>
    <row r="450" ht="15.75" customHeight="1">
      <c r="A450" s="217"/>
    </row>
    <row r="451" ht="15.75" customHeight="1">
      <c r="A451" s="217"/>
    </row>
    <row r="452" ht="15.75" customHeight="1">
      <c r="A452" s="217"/>
    </row>
    <row r="453" ht="15.75" customHeight="1">
      <c r="A453" s="217"/>
    </row>
    <row r="454" ht="15.75" customHeight="1">
      <c r="A454" s="217"/>
    </row>
    <row r="455" ht="15.75" customHeight="1">
      <c r="A455" s="217"/>
    </row>
    <row r="456" ht="15.75" customHeight="1">
      <c r="A456" s="217"/>
    </row>
    <row r="457" ht="15.75" customHeight="1">
      <c r="A457" s="217"/>
    </row>
    <row r="458" ht="15.75" customHeight="1">
      <c r="A458" s="217"/>
    </row>
    <row r="459" ht="15.75" customHeight="1">
      <c r="A459" s="217"/>
    </row>
    <row r="460" ht="15.75" customHeight="1">
      <c r="A460" s="217"/>
    </row>
    <row r="461" ht="15.75" customHeight="1">
      <c r="A461" s="217"/>
    </row>
    <row r="462" ht="15.75" customHeight="1">
      <c r="A462" s="217"/>
    </row>
    <row r="463" ht="15.75" customHeight="1">
      <c r="A463" s="217"/>
    </row>
    <row r="464" ht="15.75" customHeight="1">
      <c r="A464" s="217"/>
    </row>
    <row r="465" ht="15.75" customHeight="1">
      <c r="A465" s="217"/>
    </row>
    <row r="466" ht="15.75" customHeight="1">
      <c r="A466" s="217"/>
    </row>
    <row r="467" ht="15.75" customHeight="1">
      <c r="A467" s="217"/>
    </row>
    <row r="468" ht="15.75" customHeight="1">
      <c r="A468" s="217"/>
    </row>
    <row r="469" ht="15.75" customHeight="1">
      <c r="A469" s="217"/>
    </row>
    <row r="470" ht="15.75" customHeight="1">
      <c r="A470" s="217"/>
    </row>
    <row r="471" ht="15.75" customHeight="1">
      <c r="A471" s="217"/>
    </row>
    <row r="472" ht="15.75" customHeight="1">
      <c r="A472" s="217"/>
    </row>
    <row r="473" ht="15.75" customHeight="1">
      <c r="A473" s="217"/>
    </row>
    <row r="474" ht="15.75" customHeight="1">
      <c r="A474" s="217"/>
    </row>
    <row r="475" ht="15.75" customHeight="1">
      <c r="A475" s="217"/>
    </row>
    <row r="476" ht="15.75" customHeight="1">
      <c r="A476" s="217"/>
    </row>
    <row r="477" ht="15.75" customHeight="1">
      <c r="A477" s="217"/>
    </row>
    <row r="478" ht="15.75" customHeight="1">
      <c r="A478" s="217"/>
    </row>
    <row r="479" ht="15.75" customHeight="1">
      <c r="A479" s="217"/>
    </row>
    <row r="480" ht="15.75" customHeight="1">
      <c r="A480" s="217"/>
    </row>
    <row r="481" ht="15.75" customHeight="1">
      <c r="A481" s="217"/>
    </row>
    <row r="482" ht="15.75" customHeight="1">
      <c r="A482" s="217"/>
    </row>
    <row r="483" ht="15.75" customHeight="1">
      <c r="A483" s="217"/>
    </row>
    <row r="484" ht="15.75" customHeight="1">
      <c r="A484" s="217"/>
    </row>
    <row r="485" ht="15.75" customHeight="1">
      <c r="A485" s="217"/>
    </row>
    <row r="486" ht="15.75" customHeight="1">
      <c r="A486" s="217"/>
    </row>
    <row r="487" ht="15.75" customHeight="1">
      <c r="A487" s="217"/>
    </row>
    <row r="488" ht="15.75" customHeight="1">
      <c r="A488" s="217"/>
    </row>
    <row r="489" ht="15.75" customHeight="1">
      <c r="A489" s="217"/>
    </row>
    <row r="490" ht="15.75" customHeight="1">
      <c r="A490" s="217"/>
    </row>
    <row r="491" ht="15.75" customHeight="1">
      <c r="A491" s="217"/>
    </row>
    <row r="492" ht="15.75" customHeight="1">
      <c r="A492" s="217"/>
    </row>
    <row r="493" ht="15.75" customHeight="1">
      <c r="A493" s="217"/>
    </row>
    <row r="494" ht="15.75" customHeight="1">
      <c r="A494" s="217"/>
    </row>
    <row r="495" ht="15.75" customHeight="1">
      <c r="A495" s="217"/>
    </row>
    <row r="496" ht="15.75" customHeight="1">
      <c r="A496" s="217"/>
    </row>
    <row r="497" ht="15.75" customHeight="1">
      <c r="A497" s="217"/>
    </row>
    <row r="498" ht="15.75" customHeight="1">
      <c r="A498" s="217"/>
    </row>
    <row r="499" ht="15.75" customHeight="1">
      <c r="A499" s="217"/>
    </row>
    <row r="500" ht="15.75" customHeight="1">
      <c r="A500" s="217"/>
    </row>
    <row r="501" ht="15.75" customHeight="1">
      <c r="A501" s="217"/>
    </row>
    <row r="502" ht="15.75" customHeight="1">
      <c r="A502" s="217"/>
    </row>
    <row r="503" ht="15.75" customHeight="1">
      <c r="A503" s="217"/>
    </row>
    <row r="504" ht="15.75" customHeight="1">
      <c r="A504" s="217"/>
    </row>
    <row r="505" ht="15.75" customHeight="1">
      <c r="A505" s="217"/>
    </row>
    <row r="506" ht="15.75" customHeight="1">
      <c r="A506" s="217"/>
    </row>
    <row r="507" ht="15.75" customHeight="1">
      <c r="A507" s="217"/>
    </row>
    <row r="508" ht="15.75" customHeight="1">
      <c r="A508" s="217"/>
    </row>
    <row r="509" ht="15.75" customHeight="1">
      <c r="A509" s="217"/>
    </row>
    <row r="510" ht="15.75" customHeight="1">
      <c r="A510" s="217"/>
    </row>
    <row r="511" ht="15.75" customHeight="1">
      <c r="A511" s="217"/>
    </row>
    <row r="512" ht="15.75" customHeight="1">
      <c r="A512" s="217"/>
    </row>
    <row r="513" ht="15.75" customHeight="1">
      <c r="A513" s="217"/>
    </row>
    <row r="514" ht="15.75" customHeight="1">
      <c r="A514" s="217"/>
    </row>
    <row r="515" ht="15.75" customHeight="1">
      <c r="A515" s="217"/>
    </row>
    <row r="516" ht="15.75" customHeight="1">
      <c r="A516" s="217"/>
    </row>
    <row r="517" ht="15.75" customHeight="1">
      <c r="A517" s="217"/>
    </row>
    <row r="518" ht="15.75" customHeight="1">
      <c r="A518" s="217"/>
    </row>
    <row r="519" ht="15.75" customHeight="1">
      <c r="A519" s="217"/>
    </row>
    <row r="520" ht="15.75" customHeight="1">
      <c r="A520" s="217"/>
    </row>
    <row r="521" ht="15.75" customHeight="1">
      <c r="A521" s="217"/>
    </row>
    <row r="522" ht="15.75" customHeight="1">
      <c r="A522" s="217"/>
    </row>
    <row r="523" ht="15.75" customHeight="1">
      <c r="A523" s="217"/>
    </row>
    <row r="524" ht="15.75" customHeight="1">
      <c r="A524" s="217"/>
    </row>
    <row r="525" ht="15.75" customHeight="1">
      <c r="A525" s="217"/>
    </row>
    <row r="526" ht="15.75" customHeight="1">
      <c r="A526" s="217"/>
    </row>
    <row r="527" ht="15.75" customHeight="1">
      <c r="A527" s="217"/>
    </row>
    <row r="528" ht="15.75" customHeight="1">
      <c r="A528" s="217"/>
    </row>
    <row r="529" ht="15.75" customHeight="1">
      <c r="A529" s="217"/>
    </row>
    <row r="530" ht="15.75" customHeight="1">
      <c r="A530" s="217"/>
    </row>
    <row r="531" ht="15.75" customHeight="1">
      <c r="A531" s="217"/>
    </row>
    <row r="532" ht="15.75" customHeight="1">
      <c r="A532" s="217"/>
    </row>
    <row r="533" ht="15.75" customHeight="1">
      <c r="A533" s="217"/>
    </row>
    <row r="534" ht="15.75" customHeight="1">
      <c r="A534" s="217"/>
    </row>
    <row r="535" ht="15.75" customHeight="1">
      <c r="A535" s="217"/>
    </row>
    <row r="536" ht="15.75" customHeight="1">
      <c r="A536" s="217"/>
    </row>
    <row r="537" ht="15.75" customHeight="1">
      <c r="A537" s="217"/>
    </row>
    <row r="538" ht="15.75" customHeight="1">
      <c r="A538" s="217"/>
    </row>
    <row r="539" ht="15.75" customHeight="1">
      <c r="A539" s="217"/>
    </row>
    <row r="540" ht="15.75" customHeight="1">
      <c r="A540" s="217"/>
    </row>
    <row r="541" ht="15.75" customHeight="1">
      <c r="A541" s="217"/>
    </row>
    <row r="542" ht="15.75" customHeight="1">
      <c r="A542" s="217"/>
    </row>
    <row r="543" ht="15.75" customHeight="1">
      <c r="A543" s="217"/>
    </row>
    <row r="544" ht="15.75" customHeight="1">
      <c r="A544" s="217"/>
    </row>
    <row r="545" ht="15.75" customHeight="1">
      <c r="A545" s="217"/>
    </row>
    <row r="546" ht="15.75" customHeight="1">
      <c r="A546" s="217"/>
    </row>
    <row r="547" ht="15.75" customHeight="1">
      <c r="A547" s="217"/>
    </row>
    <row r="548" ht="15.75" customHeight="1">
      <c r="A548" s="217"/>
    </row>
    <row r="549" ht="15.75" customHeight="1">
      <c r="A549" s="217"/>
    </row>
    <row r="550" ht="15.75" customHeight="1">
      <c r="A550" s="217"/>
    </row>
    <row r="551" ht="15.75" customHeight="1">
      <c r="A551" s="217"/>
    </row>
    <row r="552" ht="15.75" customHeight="1">
      <c r="A552" s="217"/>
    </row>
    <row r="553" ht="15.75" customHeight="1">
      <c r="A553" s="217"/>
    </row>
    <row r="554" ht="15.75" customHeight="1">
      <c r="A554" s="217"/>
    </row>
    <row r="555" ht="15.75" customHeight="1">
      <c r="A555" s="217"/>
    </row>
    <row r="556" ht="15.75" customHeight="1">
      <c r="A556" s="217"/>
    </row>
    <row r="557" ht="15.75" customHeight="1">
      <c r="A557" s="217"/>
    </row>
    <row r="558" ht="15.75" customHeight="1">
      <c r="A558" s="217"/>
    </row>
    <row r="559" ht="15.75" customHeight="1">
      <c r="A559" s="217"/>
    </row>
    <row r="560" ht="15.75" customHeight="1">
      <c r="A560" s="217"/>
    </row>
    <row r="561" ht="15.75" customHeight="1">
      <c r="A561" s="217"/>
    </row>
    <row r="562" ht="15.75" customHeight="1">
      <c r="A562" s="217"/>
    </row>
    <row r="563" ht="15.75" customHeight="1">
      <c r="A563" s="217"/>
    </row>
    <row r="564" ht="15.75" customHeight="1">
      <c r="A564" s="217"/>
    </row>
    <row r="565" ht="15.75" customHeight="1">
      <c r="A565" s="217"/>
    </row>
    <row r="566" ht="15.75" customHeight="1">
      <c r="A566" s="217"/>
    </row>
    <row r="567" ht="15.75" customHeight="1">
      <c r="A567" s="217"/>
    </row>
    <row r="568" ht="15.75" customHeight="1">
      <c r="A568" s="217"/>
    </row>
    <row r="569" ht="15.75" customHeight="1">
      <c r="A569" s="217"/>
    </row>
    <row r="570" ht="15.75" customHeight="1">
      <c r="A570" s="217"/>
    </row>
    <row r="571" ht="15.75" customHeight="1">
      <c r="A571" s="217"/>
    </row>
    <row r="572" ht="15.75" customHeight="1">
      <c r="A572" s="217"/>
    </row>
    <row r="573" ht="15.75" customHeight="1">
      <c r="A573" s="217"/>
    </row>
    <row r="574" ht="15.75" customHeight="1">
      <c r="A574" s="217"/>
    </row>
    <row r="575" ht="15.75" customHeight="1">
      <c r="A575" s="217"/>
    </row>
    <row r="576" ht="15.75" customHeight="1">
      <c r="A576" s="217"/>
    </row>
    <row r="577" ht="15.75" customHeight="1">
      <c r="A577" s="217"/>
    </row>
    <row r="578" ht="15.75" customHeight="1">
      <c r="A578" s="217"/>
    </row>
    <row r="579" ht="15.75" customHeight="1">
      <c r="A579" s="217"/>
    </row>
    <row r="580" ht="15.75" customHeight="1">
      <c r="A580" s="217"/>
    </row>
    <row r="581" ht="15.75" customHeight="1">
      <c r="A581" s="217"/>
    </row>
    <row r="582" ht="15.75" customHeight="1">
      <c r="A582" s="217"/>
    </row>
    <row r="583" ht="15.75" customHeight="1">
      <c r="A583" s="217"/>
    </row>
    <row r="584" ht="15.75" customHeight="1">
      <c r="A584" s="217"/>
    </row>
    <row r="585" ht="15.75" customHeight="1">
      <c r="A585" s="217"/>
    </row>
    <row r="586" ht="15.75" customHeight="1">
      <c r="A586" s="217"/>
    </row>
    <row r="587" ht="15.75" customHeight="1">
      <c r="A587" s="217"/>
    </row>
    <row r="588" ht="15.75" customHeight="1">
      <c r="A588" s="217"/>
    </row>
    <row r="589" ht="15.75" customHeight="1">
      <c r="A589" s="217"/>
    </row>
    <row r="590" ht="15.75" customHeight="1">
      <c r="A590" s="217"/>
    </row>
    <row r="591" ht="15.75" customHeight="1">
      <c r="A591" s="217"/>
    </row>
    <row r="592" ht="15.75" customHeight="1">
      <c r="A592" s="217"/>
    </row>
    <row r="593" ht="15.75" customHeight="1">
      <c r="A593" s="217"/>
    </row>
    <row r="594" ht="15.75" customHeight="1">
      <c r="A594" s="217"/>
    </row>
    <row r="595" ht="15.75" customHeight="1">
      <c r="A595" s="217"/>
    </row>
    <row r="596" ht="15.75" customHeight="1">
      <c r="A596" s="217"/>
    </row>
    <row r="597" ht="15.75" customHeight="1">
      <c r="A597" s="217"/>
    </row>
    <row r="598" ht="15.75" customHeight="1">
      <c r="A598" s="217"/>
    </row>
    <row r="599" ht="15.75" customHeight="1">
      <c r="A599" s="217"/>
    </row>
    <row r="600" ht="15.75" customHeight="1">
      <c r="A600" s="217"/>
    </row>
    <row r="601" ht="15.75" customHeight="1">
      <c r="A601" s="217"/>
    </row>
    <row r="602" ht="15.75" customHeight="1">
      <c r="A602" s="217"/>
    </row>
    <row r="603" ht="15.75" customHeight="1">
      <c r="A603" s="217"/>
    </row>
    <row r="604" ht="15.75" customHeight="1">
      <c r="A604" s="217"/>
    </row>
    <row r="605" ht="15.75" customHeight="1">
      <c r="A605" s="217"/>
    </row>
    <row r="606" ht="15.75" customHeight="1">
      <c r="A606" s="217"/>
    </row>
    <row r="607" ht="15.75" customHeight="1">
      <c r="A607" s="217"/>
    </row>
    <row r="608" ht="15.75" customHeight="1">
      <c r="A608" s="217"/>
    </row>
    <row r="609" ht="15.75" customHeight="1">
      <c r="A609" s="217"/>
    </row>
    <row r="610" ht="15.75" customHeight="1">
      <c r="A610" s="217"/>
    </row>
    <row r="611" ht="15.75" customHeight="1">
      <c r="A611" s="217"/>
    </row>
    <row r="612" ht="15.75" customHeight="1">
      <c r="A612" s="217"/>
    </row>
    <row r="613" ht="15.75" customHeight="1">
      <c r="A613" s="217"/>
    </row>
    <row r="614" ht="15.75" customHeight="1">
      <c r="A614" s="217"/>
    </row>
    <row r="615" ht="15.75" customHeight="1">
      <c r="A615" s="217"/>
    </row>
    <row r="616" ht="15.75" customHeight="1">
      <c r="A616" s="217"/>
    </row>
    <row r="617" ht="15.75" customHeight="1">
      <c r="A617" s="217"/>
    </row>
    <row r="618" ht="15.75" customHeight="1">
      <c r="A618" s="217"/>
    </row>
    <row r="619" ht="15.75" customHeight="1">
      <c r="A619" s="217"/>
    </row>
    <row r="620" ht="15.75" customHeight="1">
      <c r="A620" s="217"/>
    </row>
    <row r="621" ht="15.75" customHeight="1">
      <c r="A621" s="217"/>
    </row>
    <row r="622" ht="15.75" customHeight="1">
      <c r="A622" s="217"/>
    </row>
    <row r="623" ht="15.75" customHeight="1">
      <c r="A623" s="217"/>
    </row>
    <row r="624" ht="15.75" customHeight="1">
      <c r="A624" s="217"/>
    </row>
    <row r="625" ht="15.75" customHeight="1">
      <c r="A625" s="217"/>
    </row>
    <row r="626" ht="15.75" customHeight="1">
      <c r="A626" s="217"/>
    </row>
    <row r="627" ht="15.75" customHeight="1">
      <c r="A627" s="217"/>
    </row>
    <row r="628" ht="15.75" customHeight="1">
      <c r="A628" s="217"/>
    </row>
    <row r="629" ht="15.75" customHeight="1">
      <c r="A629" s="217"/>
    </row>
    <row r="630" ht="15.75" customHeight="1">
      <c r="A630" s="217"/>
    </row>
    <row r="631" ht="15.75" customHeight="1">
      <c r="A631" s="217"/>
    </row>
    <row r="632" ht="15.75" customHeight="1">
      <c r="A632" s="217"/>
    </row>
    <row r="633" ht="15.75" customHeight="1">
      <c r="A633" s="217"/>
    </row>
    <row r="634" ht="15.75" customHeight="1">
      <c r="A634" s="217"/>
    </row>
    <row r="635" ht="15.75" customHeight="1">
      <c r="A635" s="217"/>
    </row>
    <row r="636" ht="15.75" customHeight="1">
      <c r="A636" s="217"/>
    </row>
    <row r="637" ht="15.75" customHeight="1">
      <c r="A637" s="217"/>
    </row>
    <row r="638" ht="15.75" customHeight="1">
      <c r="A638" s="217"/>
    </row>
    <row r="639" ht="15.75" customHeight="1">
      <c r="A639" s="217"/>
    </row>
    <row r="640" ht="15.75" customHeight="1">
      <c r="A640" s="217"/>
    </row>
    <row r="641" ht="15.75" customHeight="1">
      <c r="A641" s="217"/>
    </row>
    <row r="642" ht="15.75" customHeight="1">
      <c r="A642" s="217"/>
    </row>
    <row r="643" ht="15.75" customHeight="1">
      <c r="A643" s="217"/>
    </row>
    <row r="644" ht="15.75" customHeight="1">
      <c r="A644" s="217"/>
    </row>
    <row r="645" ht="15.75" customHeight="1">
      <c r="A645" s="217"/>
    </row>
    <row r="646" ht="15.75" customHeight="1">
      <c r="A646" s="217"/>
    </row>
    <row r="647" ht="15.75" customHeight="1">
      <c r="A647" s="217"/>
    </row>
    <row r="648" ht="15.75" customHeight="1">
      <c r="A648" s="217"/>
    </row>
    <row r="649" ht="15.75" customHeight="1">
      <c r="A649" s="217"/>
    </row>
    <row r="650" ht="15.75" customHeight="1">
      <c r="A650" s="217"/>
    </row>
    <row r="651" ht="15.75" customHeight="1">
      <c r="A651" s="217"/>
    </row>
    <row r="652" ht="15.75" customHeight="1">
      <c r="A652" s="217"/>
    </row>
    <row r="653" ht="15.75" customHeight="1">
      <c r="A653" s="217"/>
    </row>
    <row r="654" ht="15.75" customHeight="1">
      <c r="A654" s="217"/>
    </row>
    <row r="655" ht="15.75" customHeight="1">
      <c r="A655" s="217"/>
    </row>
    <row r="656" ht="15.75" customHeight="1">
      <c r="A656" s="217"/>
    </row>
    <row r="657" ht="15.75" customHeight="1">
      <c r="A657" s="217"/>
    </row>
    <row r="658" ht="15.75" customHeight="1">
      <c r="A658" s="217"/>
    </row>
    <row r="659" ht="15.75" customHeight="1">
      <c r="A659" s="217"/>
    </row>
    <row r="660" ht="15.75" customHeight="1">
      <c r="A660" s="217"/>
    </row>
    <row r="661" ht="15.75" customHeight="1">
      <c r="A661" s="217"/>
    </row>
    <row r="662" ht="15.75" customHeight="1">
      <c r="A662" s="217"/>
    </row>
    <row r="663" ht="15.75" customHeight="1">
      <c r="A663" s="217"/>
    </row>
    <row r="664" ht="15.75" customHeight="1">
      <c r="A664" s="217"/>
    </row>
    <row r="665" ht="15.75" customHeight="1">
      <c r="A665" s="217"/>
    </row>
    <row r="666" ht="15.75" customHeight="1">
      <c r="A666" s="217"/>
    </row>
    <row r="667" ht="15.75" customHeight="1">
      <c r="A667" s="217"/>
    </row>
    <row r="668" ht="15.75" customHeight="1">
      <c r="A668" s="217"/>
    </row>
    <row r="669" ht="15.75" customHeight="1">
      <c r="A669" s="217"/>
    </row>
    <row r="670" ht="15.75" customHeight="1">
      <c r="A670" s="217"/>
    </row>
    <row r="671" ht="15.75" customHeight="1">
      <c r="A671" s="217"/>
    </row>
    <row r="672" ht="15.75" customHeight="1">
      <c r="A672" s="217"/>
    </row>
    <row r="673" ht="15.75" customHeight="1">
      <c r="A673" s="217"/>
    </row>
    <row r="674" ht="15.75" customHeight="1">
      <c r="A674" s="217"/>
    </row>
    <row r="675" ht="15.75" customHeight="1">
      <c r="A675" s="217"/>
    </row>
    <row r="676" ht="15.75" customHeight="1">
      <c r="A676" s="217"/>
    </row>
    <row r="677" ht="15.75" customHeight="1">
      <c r="A677" s="217"/>
    </row>
    <row r="678" ht="15.75" customHeight="1">
      <c r="A678" s="217"/>
    </row>
    <row r="679" ht="15.75" customHeight="1">
      <c r="A679" s="217"/>
    </row>
    <row r="680" ht="15.75" customHeight="1">
      <c r="A680" s="217"/>
    </row>
    <row r="681" ht="15.75" customHeight="1">
      <c r="A681" s="217"/>
    </row>
    <row r="682" ht="15.75" customHeight="1">
      <c r="A682" s="217"/>
    </row>
    <row r="683" ht="15.75" customHeight="1">
      <c r="A683" s="217"/>
    </row>
    <row r="684" ht="15.75" customHeight="1">
      <c r="A684" s="217"/>
    </row>
    <row r="685" ht="15.75" customHeight="1">
      <c r="A685" s="217"/>
    </row>
    <row r="686" ht="15.75" customHeight="1">
      <c r="A686" s="217"/>
    </row>
    <row r="687" ht="15.75" customHeight="1">
      <c r="A687" s="217"/>
    </row>
    <row r="688" ht="15.75" customHeight="1">
      <c r="A688" s="217"/>
    </row>
    <row r="689" ht="15.75" customHeight="1">
      <c r="A689" s="217"/>
    </row>
    <row r="690" ht="15.75" customHeight="1">
      <c r="A690" s="217"/>
    </row>
    <row r="691" ht="15.75" customHeight="1">
      <c r="A691" s="217"/>
    </row>
    <row r="692" ht="15.75" customHeight="1">
      <c r="A692" s="217"/>
    </row>
    <row r="693" ht="15.75" customHeight="1">
      <c r="A693" s="217"/>
    </row>
    <row r="694" ht="15.75" customHeight="1">
      <c r="A694" s="217"/>
    </row>
    <row r="695" ht="15.75" customHeight="1">
      <c r="A695" s="217"/>
    </row>
    <row r="696" ht="15.75" customHeight="1">
      <c r="A696" s="217"/>
    </row>
    <row r="697" ht="15.75" customHeight="1">
      <c r="A697" s="217"/>
    </row>
    <row r="698" ht="15.75" customHeight="1">
      <c r="A698" s="217"/>
    </row>
    <row r="699" ht="15.75" customHeight="1">
      <c r="A699" s="217"/>
    </row>
    <row r="700" ht="15.75" customHeight="1">
      <c r="A700" s="217"/>
    </row>
    <row r="701" ht="15.75" customHeight="1">
      <c r="A701" s="217"/>
    </row>
    <row r="702" ht="15.75" customHeight="1">
      <c r="A702" s="217"/>
    </row>
    <row r="703" ht="15.75" customHeight="1">
      <c r="A703" s="217"/>
    </row>
    <row r="704" ht="15.75" customHeight="1">
      <c r="A704" s="217"/>
    </row>
    <row r="705" ht="15.75" customHeight="1">
      <c r="A705" s="217"/>
    </row>
    <row r="706" ht="15.75" customHeight="1">
      <c r="A706" s="217"/>
    </row>
    <row r="707" ht="15.75" customHeight="1">
      <c r="A707" s="217"/>
    </row>
    <row r="708" ht="15.75" customHeight="1">
      <c r="A708" s="217"/>
    </row>
    <row r="709" ht="15.75" customHeight="1">
      <c r="A709" s="217"/>
    </row>
    <row r="710" ht="15.75" customHeight="1">
      <c r="A710" s="217"/>
    </row>
    <row r="711" ht="15.75" customHeight="1">
      <c r="A711" s="217"/>
    </row>
    <row r="712" ht="15.75" customHeight="1">
      <c r="A712" s="217"/>
    </row>
    <row r="713" ht="15.75" customHeight="1">
      <c r="A713" s="217"/>
    </row>
    <row r="714" ht="15.75" customHeight="1">
      <c r="A714" s="217"/>
    </row>
    <row r="715" ht="15.75" customHeight="1">
      <c r="A715" s="217"/>
    </row>
    <row r="716" ht="15.75" customHeight="1">
      <c r="A716" s="217"/>
    </row>
    <row r="717" ht="15.75" customHeight="1">
      <c r="A717" s="217"/>
    </row>
    <row r="718" ht="15.75" customHeight="1">
      <c r="A718" s="217"/>
    </row>
    <row r="719" ht="15.75" customHeight="1">
      <c r="A719" s="217"/>
    </row>
    <row r="720" ht="15.75" customHeight="1">
      <c r="A720" s="217"/>
    </row>
    <row r="721" ht="15.75" customHeight="1">
      <c r="A721" s="217"/>
    </row>
    <row r="722" ht="15.75" customHeight="1">
      <c r="A722" s="217"/>
    </row>
    <row r="723" ht="15.75" customHeight="1">
      <c r="A723" s="217"/>
    </row>
    <row r="724" ht="15.75" customHeight="1">
      <c r="A724" s="217"/>
    </row>
    <row r="725" ht="15.75" customHeight="1">
      <c r="A725" s="217"/>
    </row>
    <row r="726" ht="15.75" customHeight="1">
      <c r="A726" s="217"/>
    </row>
    <row r="727" ht="15.75" customHeight="1">
      <c r="A727" s="217"/>
    </row>
    <row r="728" ht="15.75" customHeight="1">
      <c r="A728" s="217"/>
    </row>
    <row r="729" ht="15.75" customHeight="1">
      <c r="A729" s="217"/>
    </row>
    <row r="730" ht="15.75" customHeight="1">
      <c r="A730" s="217"/>
    </row>
    <row r="731" ht="15.75" customHeight="1">
      <c r="A731" s="217"/>
    </row>
    <row r="732" ht="15.75" customHeight="1">
      <c r="A732" s="217"/>
    </row>
    <row r="733" ht="15.75" customHeight="1">
      <c r="A733" s="217"/>
    </row>
    <row r="734" ht="15.75" customHeight="1">
      <c r="A734" s="217"/>
    </row>
    <row r="735" ht="15.75" customHeight="1">
      <c r="A735" s="217"/>
    </row>
    <row r="736" ht="15.75" customHeight="1">
      <c r="A736" s="217"/>
    </row>
    <row r="737" ht="15.75" customHeight="1">
      <c r="A737" s="217"/>
    </row>
    <row r="738" ht="15.75" customHeight="1">
      <c r="A738" s="217"/>
    </row>
    <row r="739" ht="15.75" customHeight="1">
      <c r="A739" s="217"/>
    </row>
    <row r="740" ht="15.75" customHeight="1">
      <c r="A740" s="217"/>
    </row>
    <row r="741" ht="15.75" customHeight="1">
      <c r="A741" s="217"/>
    </row>
    <row r="742" ht="15.75" customHeight="1">
      <c r="A742" s="217"/>
    </row>
    <row r="743" ht="15.75" customHeight="1">
      <c r="A743" s="217"/>
    </row>
    <row r="744" ht="15.75" customHeight="1">
      <c r="A744" s="217"/>
    </row>
    <row r="745" ht="15.75" customHeight="1">
      <c r="A745" s="217"/>
    </row>
    <row r="746" ht="15.75" customHeight="1">
      <c r="A746" s="217"/>
    </row>
    <row r="747" ht="15.75" customHeight="1">
      <c r="A747" s="217"/>
    </row>
    <row r="748" ht="15.75" customHeight="1">
      <c r="A748" s="217"/>
    </row>
    <row r="749" ht="15.75" customHeight="1">
      <c r="A749" s="217"/>
    </row>
    <row r="750" ht="15.75" customHeight="1">
      <c r="A750" s="217"/>
    </row>
    <row r="751" ht="15.75" customHeight="1">
      <c r="A751" s="217"/>
    </row>
    <row r="752" ht="15.75" customHeight="1">
      <c r="A752" s="217"/>
    </row>
    <row r="753" ht="15.75" customHeight="1">
      <c r="A753" s="217"/>
    </row>
    <row r="754" ht="15.75" customHeight="1">
      <c r="A754" s="217"/>
    </row>
    <row r="755" ht="15.75" customHeight="1">
      <c r="A755" s="217"/>
    </row>
    <row r="756" ht="15.75" customHeight="1">
      <c r="A756" s="217"/>
    </row>
    <row r="757" ht="15.75" customHeight="1">
      <c r="A757" s="217"/>
    </row>
    <row r="758" ht="15.75" customHeight="1">
      <c r="A758" s="217"/>
    </row>
    <row r="759" ht="15.75" customHeight="1">
      <c r="A759" s="217"/>
    </row>
    <row r="760" ht="15.75" customHeight="1">
      <c r="A760" s="217"/>
    </row>
    <row r="761" ht="15.75" customHeight="1">
      <c r="A761" s="217"/>
    </row>
    <row r="762" ht="15.75" customHeight="1">
      <c r="A762" s="217"/>
    </row>
    <row r="763" ht="15.75" customHeight="1">
      <c r="A763" s="217"/>
    </row>
    <row r="764" ht="15.75" customHeight="1">
      <c r="A764" s="217"/>
    </row>
    <row r="765" ht="15.75" customHeight="1">
      <c r="A765" s="217"/>
    </row>
    <row r="766" ht="15.75" customHeight="1">
      <c r="A766" s="217"/>
    </row>
    <row r="767" ht="15.75" customHeight="1">
      <c r="A767" s="217"/>
    </row>
    <row r="768" ht="15.75" customHeight="1">
      <c r="A768" s="217"/>
    </row>
    <row r="769" ht="15.75" customHeight="1">
      <c r="A769" s="217"/>
    </row>
    <row r="770" ht="15.75" customHeight="1">
      <c r="A770" s="217"/>
    </row>
    <row r="771" ht="15.75" customHeight="1">
      <c r="A771" s="217"/>
    </row>
    <row r="772" ht="15.75" customHeight="1">
      <c r="A772" s="217"/>
    </row>
    <row r="773" ht="15.75" customHeight="1">
      <c r="A773" s="217"/>
    </row>
    <row r="774" ht="15.75" customHeight="1">
      <c r="A774" s="217"/>
    </row>
    <row r="775" ht="15.75" customHeight="1">
      <c r="A775" s="217"/>
    </row>
    <row r="776" ht="15.75" customHeight="1">
      <c r="A776" s="217"/>
    </row>
    <row r="777" ht="15.75" customHeight="1">
      <c r="A777" s="217"/>
    </row>
    <row r="778" ht="15.75" customHeight="1">
      <c r="A778" s="217"/>
    </row>
    <row r="779" ht="15.75" customHeight="1">
      <c r="A779" s="217"/>
    </row>
    <row r="780" ht="15.75" customHeight="1">
      <c r="A780" s="217"/>
    </row>
    <row r="781" ht="15.75" customHeight="1">
      <c r="A781" s="217"/>
    </row>
    <row r="782" ht="15.75" customHeight="1">
      <c r="A782" s="217"/>
    </row>
    <row r="783" ht="15.75" customHeight="1">
      <c r="A783" s="217"/>
    </row>
    <row r="784" ht="15.75" customHeight="1">
      <c r="A784" s="217"/>
    </row>
    <row r="785" ht="15.75" customHeight="1">
      <c r="A785" s="217"/>
    </row>
    <row r="786" ht="15.75" customHeight="1">
      <c r="A786" s="217"/>
    </row>
    <row r="787" ht="15.75" customHeight="1">
      <c r="A787" s="217"/>
    </row>
    <row r="788" ht="15.75" customHeight="1">
      <c r="A788" s="217"/>
    </row>
    <row r="789" ht="15.75" customHeight="1">
      <c r="A789" s="217"/>
    </row>
    <row r="790" ht="15.75" customHeight="1">
      <c r="A790" s="217"/>
    </row>
    <row r="791" ht="15.75" customHeight="1">
      <c r="A791" s="217"/>
    </row>
    <row r="792" ht="15.75" customHeight="1">
      <c r="A792" s="217"/>
    </row>
    <row r="793" ht="15.75" customHeight="1">
      <c r="A793" s="217"/>
    </row>
    <row r="794" ht="15.75" customHeight="1">
      <c r="A794" s="217"/>
    </row>
    <row r="795" ht="15.75" customHeight="1">
      <c r="A795" s="217"/>
    </row>
    <row r="796" ht="15.75" customHeight="1">
      <c r="A796" s="217"/>
    </row>
    <row r="797" ht="15.75" customHeight="1">
      <c r="A797" s="217"/>
    </row>
    <row r="798" ht="15.75" customHeight="1">
      <c r="A798" s="217"/>
    </row>
    <row r="799" ht="15.75" customHeight="1">
      <c r="A799" s="217"/>
    </row>
    <row r="800" ht="15.75" customHeight="1">
      <c r="A800" s="217"/>
    </row>
    <row r="801" ht="15.75" customHeight="1">
      <c r="A801" s="217"/>
    </row>
    <row r="802" ht="15.75" customHeight="1">
      <c r="A802" s="217"/>
    </row>
    <row r="803" ht="15.75" customHeight="1">
      <c r="A803" s="217"/>
    </row>
    <row r="804" ht="15.75" customHeight="1">
      <c r="A804" s="217"/>
    </row>
    <row r="805" ht="15.75" customHeight="1">
      <c r="A805" s="217"/>
    </row>
    <row r="806" ht="15.75" customHeight="1">
      <c r="A806" s="217"/>
    </row>
    <row r="807" ht="15.75" customHeight="1">
      <c r="A807" s="217"/>
    </row>
    <row r="808" ht="15.75" customHeight="1">
      <c r="A808" s="217"/>
    </row>
    <row r="809" ht="15.75" customHeight="1">
      <c r="A809" s="217"/>
    </row>
    <row r="810" ht="15.75" customHeight="1">
      <c r="A810" s="217"/>
    </row>
    <row r="811" ht="15.75" customHeight="1">
      <c r="A811" s="217"/>
    </row>
    <row r="812" ht="15.75" customHeight="1">
      <c r="A812" s="217"/>
    </row>
    <row r="813" ht="15.75" customHeight="1">
      <c r="A813" s="217"/>
    </row>
    <row r="814" ht="15.75" customHeight="1">
      <c r="A814" s="217"/>
    </row>
    <row r="815" ht="15.75" customHeight="1">
      <c r="A815" s="217"/>
    </row>
    <row r="816" ht="15.75" customHeight="1">
      <c r="A816" s="217"/>
    </row>
    <row r="817" ht="15.75" customHeight="1">
      <c r="A817" s="217"/>
    </row>
    <row r="818" ht="15.75" customHeight="1">
      <c r="A818" s="217"/>
    </row>
    <row r="819" ht="15.75" customHeight="1">
      <c r="A819" s="217"/>
    </row>
    <row r="820" ht="15.75" customHeight="1">
      <c r="A820" s="217"/>
    </row>
    <row r="821" ht="15.75" customHeight="1">
      <c r="A821" s="217"/>
    </row>
    <row r="822" ht="15.75" customHeight="1">
      <c r="A822" s="217"/>
    </row>
    <row r="823" ht="15.75" customHeight="1">
      <c r="A823" s="217"/>
    </row>
    <row r="824" ht="15.75" customHeight="1">
      <c r="A824" s="217"/>
    </row>
    <row r="825" ht="15.75" customHeight="1">
      <c r="A825" s="217"/>
    </row>
    <row r="826" ht="15.75" customHeight="1">
      <c r="A826" s="217"/>
    </row>
    <row r="827" ht="15.75" customHeight="1">
      <c r="A827" s="217"/>
    </row>
    <row r="828" ht="15.75" customHeight="1">
      <c r="A828" s="217"/>
    </row>
    <row r="829" ht="15.75" customHeight="1">
      <c r="A829" s="217"/>
    </row>
    <row r="830" ht="15.75" customHeight="1">
      <c r="A830" s="217"/>
    </row>
    <row r="831" ht="15.75" customHeight="1">
      <c r="A831" s="217"/>
    </row>
    <row r="832" ht="15.75" customHeight="1">
      <c r="A832" s="217"/>
    </row>
    <row r="833" ht="15.75" customHeight="1">
      <c r="A833" s="217"/>
    </row>
    <row r="834" ht="15.75" customHeight="1">
      <c r="A834" s="217"/>
    </row>
    <row r="835" ht="15.75" customHeight="1">
      <c r="A835" s="217"/>
    </row>
    <row r="836" ht="15.75" customHeight="1">
      <c r="A836" s="217"/>
    </row>
    <row r="837" ht="15.75" customHeight="1">
      <c r="A837" s="217"/>
    </row>
    <row r="838" ht="15.75" customHeight="1">
      <c r="A838" s="217"/>
    </row>
    <row r="839" ht="15.75" customHeight="1">
      <c r="A839" s="217"/>
    </row>
    <row r="840" ht="15.75" customHeight="1">
      <c r="A840" s="217"/>
    </row>
    <row r="841" ht="15.75" customHeight="1">
      <c r="A841" s="217"/>
    </row>
    <row r="842" ht="15.75" customHeight="1">
      <c r="A842" s="217"/>
    </row>
    <row r="843" ht="15.75" customHeight="1">
      <c r="A843" s="217"/>
    </row>
    <row r="844" ht="15.75" customHeight="1">
      <c r="A844" s="217"/>
    </row>
    <row r="845" ht="15.75" customHeight="1">
      <c r="A845" s="217"/>
    </row>
    <row r="846" ht="15.75" customHeight="1">
      <c r="A846" s="217"/>
    </row>
    <row r="847" ht="15.75" customHeight="1">
      <c r="A847" s="217"/>
    </row>
    <row r="848" ht="15.75" customHeight="1">
      <c r="A848" s="217"/>
    </row>
    <row r="849" ht="15.75" customHeight="1">
      <c r="A849" s="217"/>
    </row>
    <row r="850" ht="15.75" customHeight="1">
      <c r="A850" s="217"/>
    </row>
    <row r="851" ht="15.75" customHeight="1">
      <c r="A851" s="217"/>
    </row>
    <row r="852" ht="15.75" customHeight="1">
      <c r="A852" s="217"/>
    </row>
    <row r="853" ht="15.75" customHeight="1">
      <c r="A853" s="217"/>
    </row>
    <row r="854" ht="15.75" customHeight="1">
      <c r="A854" s="217"/>
    </row>
    <row r="855" ht="15.75" customHeight="1">
      <c r="A855" s="217"/>
    </row>
    <row r="856" ht="15.75" customHeight="1">
      <c r="A856" s="217"/>
    </row>
    <row r="857" ht="15.75" customHeight="1">
      <c r="A857" s="217"/>
    </row>
    <row r="858" ht="15.75" customHeight="1">
      <c r="A858" s="217"/>
    </row>
    <row r="859" ht="15.75" customHeight="1">
      <c r="A859" s="217"/>
    </row>
    <row r="860" ht="15.75" customHeight="1">
      <c r="A860" s="217"/>
    </row>
    <row r="861" ht="15.75" customHeight="1">
      <c r="A861" s="217"/>
    </row>
    <row r="862" ht="15.75" customHeight="1">
      <c r="A862" s="217"/>
    </row>
    <row r="863" ht="15.75" customHeight="1">
      <c r="A863" s="217"/>
    </row>
    <row r="864" ht="15.75" customHeight="1">
      <c r="A864" s="217"/>
    </row>
    <row r="865" ht="15.75" customHeight="1">
      <c r="A865" s="217"/>
    </row>
    <row r="866" ht="15.75" customHeight="1">
      <c r="A866" s="217"/>
    </row>
    <row r="867" ht="15.75" customHeight="1">
      <c r="A867" s="217"/>
    </row>
    <row r="868" ht="15.75" customHeight="1">
      <c r="A868" s="217"/>
    </row>
    <row r="869" ht="15.75" customHeight="1">
      <c r="A869" s="217"/>
    </row>
    <row r="870" ht="15.75" customHeight="1">
      <c r="A870" s="217"/>
    </row>
    <row r="871" ht="15.75" customHeight="1">
      <c r="A871" s="217"/>
    </row>
    <row r="872" ht="15.75" customHeight="1">
      <c r="A872" s="217"/>
    </row>
    <row r="873" ht="15.75" customHeight="1">
      <c r="A873" s="217"/>
    </row>
    <row r="874" ht="15.75" customHeight="1">
      <c r="A874" s="217"/>
    </row>
    <row r="875" ht="15.75" customHeight="1">
      <c r="A875" s="217"/>
    </row>
    <row r="876" ht="15.75" customHeight="1">
      <c r="A876" s="217"/>
    </row>
    <row r="877" ht="15.75" customHeight="1">
      <c r="A877" s="217"/>
    </row>
    <row r="878" ht="15.75" customHeight="1">
      <c r="A878" s="217"/>
    </row>
    <row r="879" ht="15.75" customHeight="1">
      <c r="A879" s="217"/>
    </row>
    <row r="880" ht="15.75" customHeight="1">
      <c r="A880" s="217"/>
    </row>
    <row r="881" ht="15.75" customHeight="1">
      <c r="A881" s="217"/>
    </row>
    <row r="882" ht="15.75" customHeight="1">
      <c r="A882" s="217"/>
    </row>
    <row r="883" ht="15.75" customHeight="1">
      <c r="A883" s="217"/>
    </row>
    <row r="884" ht="15.75" customHeight="1">
      <c r="A884" s="217"/>
    </row>
    <row r="885" ht="15.75" customHeight="1">
      <c r="A885" s="217"/>
    </row>
    <row r="886" ht="15.75" customHeight="1">
      <c r="A886" s="217"/>
    </row>
    <row r="887" ht="15.75" customHeight="1">
      <c r="A887" s="217"/>
    </row>
    <row r="888" ht="15.75" customHeight="1">
      <c r="A888" s="217"/>
    </row>
    <row r="889" ht="15.75" customHeight="1">
      <c r="A889" s="217"/>
    </row>
    <row r="890" ht="15.75" customHeight="1">
      <c r="A890" s="217"/>
    </row>
    <row r="891" ht="15.75" customHeight="1">
      <c r="A891" s="217"/>
    </row>
    <row r="892" ht="15.75" customHeight="1">
      <c r="A892" s="217"/>
    </row>
    <row r="893" ht="15.75" customHeight="1">
      <c r="A893" s="217"/>
    </row>
    <row r="894" ht="15.75" customHeight="1">
      <c r="A894" s="217"/>
    </row>
    <row r="895" ht="15.75" customHeight="1">
      <c r="A895" s="217"/>
    </row>
    <row r="896" ht="15.75" customHeight="1">
      <c r="A896" s="217"/>
    </row>
    <row r="897" ht="15.75" customHeight="1">
      <c r="A897" s="217"/>
    </row>
    <row r="898" ht="15.75" customHeight="1">
      <c r="A898" s="217"/>
    </row>
    <row r="899" ht="15.75" customHeight="1">
      <c r="A899" s="217"/>
    </row>
    <row r="900" ht="15.75" customHeight="1">
      <c r="A900" s="217"/>
    </row>
    <row r="901" ht="15.75" customHeight="1">
      <c r="A901" s="217"/>
    </row>
    <row r="902" ht="15.75" customHeight="1">
      <c r="A902" s="217"/>
    </row>
    <row r="903" ht="15.75" customHeight="1">
      <c r="A903" s="217"/>
    </row>
    <row r="904" ht="15.75" customHeight="1">
      <c r="A904" s="217"/>
    </row>
    <row r="905" ht="15.75" customHeight="1">
      <c r="A905" s="217"/>
    </row>
    <row r="906" ht="15.75" customHeight="1">
      <c r="A906" s="217"/>
    </row>
    <row r="907" ht="15.75" customHeight="1">
      <c r="A907" s="217"/>
    </row>
    <row r="908" ht="15.75" customHeight="1">
      <c r="A908" s="217"/>
    </row>
    <row r="909" ht="15.75" customHeight="1">
      <c r="A909" s="217"/>
    </row>
    <row r="910" ht="15.75" customHeight="1">
      <c r="A910" s="217"/>
    </row>
    <row r="911" ht="15.75" customHeight="1">
      <c r="A911" s="217"/>
    </row>
    <row r="912" ht="15.75" customHeight="1">
      <c r="A912" s="217"/>
    </row>
    <row r="913" ht="15.75" customHeight="1">
      <c r="A913" s="217"/>
    </row>
    <row r="914" ht="15.75" customHeight="1">
      <c r="A914" s="217"/>
    </row>
    <row r="915" ht="15.75" customHeight="1">
      <c r="A915" s="217"/>
    </row>
    <row r="916" ht="15.75" customHeight="1">
      <c r="A916" s="217"/>
    </row>
    <row r="917" ht="15.75" customHeight="1">
      <c r="A917" s="217"/>
    </row>
    <row r="918" ht="15.75" customHeight="1">
      <c r="A918" s="217"/>
    </row>
    <row r="919" ht="15.75" customHeight="1">
      <c r="A919" s="217"/>
    </row>
    <row r="920" ht="15.75" customHeight="1">
      <c r="A920" s="217"/>
    </row>
    <row r="921" ht="15.75" customHeight="1">
      <c r="A921" s="217"/>
    </row>
    <row r="922" ht="15.75" customHeight="1">
      <c r="A922" s="217"/>
    </row>
    <row r="923" ht="15.75" customHeight="1">
      <c r="A923" s="217"/>
    </row>
    <row r="924" ht="15.75" customHeight="1">
      <c r="A924" s="217"/>
    </row>
    <row r="925" ht="15.75" customHeight="1">
      <c r="A925" s="217"/>
    </row>
    <row r="926" ht="15.75" customHeight="1">
      <c r="A926" s="217"/>
    </row>
    <row r="927" ht="15.75" customHeight="1">
      <c r="A927" s="217"/>
    </row>
    <row r="928" ht="15.75" customHeight="1">
      <c r="A928" s="217"/>
    </row>
    <row r="929" ht="15.75" customHeight="1">
      <c r="A929" s="217"/>
    </row>
    <row r="930" ht="15.75" customHeight="1">
      <c r="A930" s="217"/>
    </row>
    <row r="931" ht="15.75" customHeight="1">
      <c r="A931" s="217"/>
    </row>
    <row r="932" ht="15.75" customHeight="1">
      <c r="A932" s="217"/>
    </row>
    <row r="933" ht="15.75" customHeight="1">
      <c r="A933" s="217"/>
    </row>
    <row r="934" ht="15.75" customHeight="1">
      <c r="A934" s="217"/>
    </row>
    <row r="935" ht="15.75" customHeight="1">
      <c r="A935" s="217"/>
    </row>
    <row r="936" ht="15.75" customHeight="1">
      <c r="A936" s="217"/>
    </row>
    <row r="937" ht="15.75" customHeight="1">
      <c r="A937" s="217"/>
    </row>
    <row r="938" ht="15.75" customHeight="1">
      <c r="A938" s="217"/>
    </row>
    <row r="939" ht="15.75" customHeight="1">
      <c r="A939" s="217"/>
    </row>
    <row r="940" ht="15.75" customHeight="1">
      <c r="A940" s="217"/>
    </row>
    <row r="941" ht="15.75" customHeight="1">
      <c r="A941" s="217"/>
    </row>
    <row r="942" ht="15.75" customHeight="1">
      <c r="A942" s="217"/>
    </row>
    <row r="943" ht="15.75" customHeight="1">
      <c r="A943" s="217"/>
    </row>
    <row r="944" ht="15.75" customHeight="1">
      <c r="A944" s="217"/>
    </row>
    <row r="945" ht="15.75" customHeight="1">
      <c r="A945" s="217"/>
    </row>
    <row r="946" ht="15.75" customHeight="1">
      <c r="A946" s="217"/>
    </row>
    <row r="947" ht="15.75" customHeight="1">
      <c r="A947" s="217"/>
    </row>
    <row r="948" ht="15.75" customHeight="1">
      <c r="A948" s="217"/>
    </row>
    <row r="949" ht="15.75" customHeight="1">
      <c r="A949" s="217"/>
    </row>
    <row r="950" ht="15.75" customHeight="1">
      <c r="A950" s="217"/>
    </row>
    <row r="951" ht="15.75" customHeight="1">
      <c r="A951" s="217"/>
    </row>
    <row r="952" ht="15.75" customHeight="1">
      <c r="A952" s="217"/>
    </row>
    <row r="953" ht="15.75" customHeight="1">
      <c r="A953" s="217"/>
    </row>
    <row r="954" ht="15.75" customHeight="1">
      <c r="A954" s="217"/>
    </row>
    <row r="955" ht="15.75" customHeight="1">
      <c r="A955" s="217"/>
    </row>
    <row r="956" ht="15.75" customHeight="1">
      <c r="A956" s="217"/>
    </row>
    <row r="957" ht="15.75" customHeight="1">
      <c r="A957" s="217"/>
    </row>
    <row r="958" ht="15.75" customHeight="1">
      <c r="A958" s="217"/>
    </row>
    <row r="959" ht="15.75" customHeight="1">
      <c r="A959" s="217"/>
    </row>
    <row r="960" ht="15.75" customHeight="1">
      <c r="A960" s="217"/>
    </row>
    <row r="961" ht="15.75" customHeight="1">
      <c r="A961" s="217"/>
    </row>
    <row r="962" ht="15.75" customHeight="1">
      <c r="A962" s="217"/>
    </row>
    <row r="963" ht="15.75" customHeight="1">
      <c r="A963" s="217"/>
    </row>
    <row r="964" ht="15.75" customHeight="1">
      <c r="A964" s="217"/>
    </row>
    <row r="965" ht="15.75" customHeight="1">
      <c r="A965" s="217"/>
    </row>
    <row r="966" ht="15.75" customHeight="1">
      <c r="A966" s="217"/>
    </row>
    <row r="967" ht="15.75" customHeight="1">
      <c r="A967" s="217"/>
    </row>
    <row r="968" ht="15.75" customHeight="1">
      <c r="A968" s="217"/>
    </row>
    <row r="969" ht="15.75" customHeight="1">
      <c r="A969" s="217"/>
    </row>
    <row r="970" ht="15.75" customHeight="1">
      <c r="A970" s="217"/>
    </row>
    <row r="971" ht="15.75" customHeight="1">
      <c r="A971" s="217"/>
    </row>
    <row r="972" ht="15.75" customHeight="1">
      <c r="A972" s="217"/>
    </row>
    <row r="973" ht="15.75" customHeight="1">
      <c r="A973" s="217"/>
    </row>
    <row r="974" ht="15.75" customHeight="1">
      <c r="A974" s="217"/>
    </row>
    <row r="975" ht="15.75" customHeight="1">
      <c r="A975" s="217"/>
    </row>
    <row r="976" ht="15.75" customHeight="1">
      <c r="A976" s="217"/>
    </row>
    <row r="977" ht="15.75" customHeight="1">
      <c r="A977" s="217"/>
    </row>
    <row r="978" ht="15.75" customHeight="1">
      <c r="A978" s="217"/>
    </row>
    <row r="979" ht="15.75" customHeight="1">
      <c r="A979" s="217"/>
    </row>
    <row r="980" ht="15.75" customHeight="1">
      <c r="A980" s="217"/>
    </row>
    <row r="981" ht="15.75" customHeight="1">
      <c r="A981" s="217"/>
    </row>
    <row r="982" ht="15.75" customHeight="1">
      <c r="A982" s="217"/>
    </row>
    <row r="983" ht="15.75" customHeight="1">
      <c r="A983" s="217"/>
    </row>
    <row r="984" ht="15.75" customHeight="1">
      <c r="A984" s="217"/>
    </row>
    <row r="985" ht="15.75" customHeight="1">
      <c r="A985" s="217"/>
    </row>
    <row r="986" ht="15.75" customHeight="1">
      <c r="A986" s="217"/>
    </row>
    <row r="987" ht="15.75" customHeight="1">
      <c r="A987" s="217"/>
    </row>
    <row r="988" ht="15.75" customHeight="1">
      <c r="A988" s="217"/>
    </row>
    <row r="989" ht="15.75" customHeight="1">
      <c r="A989" s="217"/>
    </row>
    <row r="990" ht="15.75" customHeight="1">
      <c r="A990" s="217"/>
    </row>
    <row r="991" ht="15.75" customHeight="1">
      <c r="A991" s="217"/>
    </row>
    <row r="992" ht="15.75" customHeight="1">
      <c r="A992" s="217"/>
    </row>
    <row r="993" ht="15.75" customHeight="1">
      <c r="A993" s="217"/>
    </row>
    <row r="994" ht="15.75" customHeight="1">
      <c r="A994" s="217"/>
    </row>
    <row r="995" ht="15.75" customHeight="1">
      <c r="A995" s="217"/>
    </row>
    <row r="996" ht="15.75" customHeight="1">
      <c r="A996" s="217"/>
    </row>
    <row r="997" ht="15.75" customHeight="1">
      <c r="A997" s="217"/>
    </row>
    <row r="998" ht="15.75" customHeight="1">
      <c r="A998" s="217"/>
    </row>
    <row r="999" ht="15.75" customHeight="1">
      <c r="A999" s="217"/>
    </row>
    <row r="1000" ht="15.75" customHeight="1">
      <c r="A1000" s="217"/>
    </row>
    <row r="1001" ht="15.75" customHeight="1">
      <c r="A1001" s="217"/>
    </row>
    <row r="1002" ht="15.75" customHeight="1">
      <c r="A1002" s="217"/>
    </row>
    <row r="1003" ht="15.75" customHeight="1">
      <c r="A1003" s="217"/>
    </row>
    <row r="1004" ht="15.75" customHeight="1">
      <c r="A1004" s="217"/>
    </row>
    <row r="1005" ht="15.75" customHeight="1">
      <c r="A1005" s="217"/>
    </row>
    <row r="1006" ht="15.75" customHeight="1">
      <c r="A1006" s="217"/>
    </row>
    <row r="1007" ht="15.75" customHeight="1">
      <c r="A1007" s="217"/>
    </row>
    <row r="1008" ht="15.75" customHeight="1">
      <c r="A1008" s="217"/>
    </row>
    <row r="1009" ht="15.75" customHeight="1">
      <c r="A1009" s="217"/>
    </row>
    <row r="1010" ht="15.75" customHeight="1">
      <c r="A1010" s="217"/>
    </row>
    <row r="1011" ht="15.75" customHeight="1">
      <c r="A1011" s="217"/>
    </row>
    <row r="1012" ht="15.75" customHeight="1">
      <c r="A1012" s="217"/>
    </row>
    <row r="1013" ht="15.75" customHeight="1">
      <c r="A1013" s="217"/>
    </row>
    <row r="1014" ht="15.75" customHeight="1">
      <c r="A1014" s="217"/>
    </row>
    <row r="1015" ht="15.75" customHeight="1">
      <c r="A1015" s="217"/>
    </row>
    <row r="1016" ht="15.75" customHeight="1">
      <c r="A1016" s="217"/>
    </row>
    <row r="1017" ht="15.75" customHeight="1">
      <c r="A1017" s="217"/>
    </row>
    <row r="1018" ht="15.75" customHeight="1">
      <c r="A1018" s="217"/>
    </row>
    <row r="1019" ht="15.75" customHeight="1">
      <c r="A1019" s="217"/>
    </row>
    <row r="1020" ht="15.75" customHeight="1">
      <c r="A1020" s="217"/>
    </row>
    <row r="1021" ht="15.75" customHeight="1">
      <c r="A1021" s="217"/>
    </row>
    <row r="1022" ht="15.75" customHeight="1">
      <c r="A1022" s="217"/>
    </row>
    <row r="1023" ht="15.75" customHeight="1">
      <c r="A1023" s="217"/>
    </row>
    <row r="1024" ht="15.75" customHeight="1">
      <c r="A1024" s="217"/>
    </row>
    <row r="1025" ht="15.75" customHeight="1">
      <c r="A1025" s="217"/>
    </row>
    <row r="1026" ht="15.75" customHeight="1">
      <c r="A1026" s="217"/>
    </row>
    <row r="1027" ht="15.75" customHeight="1">
      <c r="A1027" s="217"/>
    </row>
    <row r="1028" ht="15.75" customHeight="1">
      <c r="A1028" s="217"/>
    </row>
    <row r="1029" ht="15.75" customHeight="1">
      <c r="A1029" s="217"/>
    </row>
    <row r="1030" ht="15.75" customHeight="1">
      <c r="A1030" s="217"/>
    </row>
    <row r="1031" ht="15.75" customHeight="1">
      <c r="A1031" s="217"/>
    </row>
    <row r="1032" ht="15.75" customHeight="1">
      <c r="A1032" s="217"/>
    </row>
    <row r="1033" ht="15.75" customHeight="1">
      <c r="A1033" s="217"/>
    </row>
    <row r="1034" ht="15.75" customHeight="1">
      <c r="A1034" s="217"/>
    </row>
  </sheetData>
  <autoFilter ref="$A$1:$L$68"/>
  <conditionalFormatting sqref="A43">
    <cfRule type="notContainsBlanks" dxfId="0" priority="1">
      <formula>LEN(TRIM(A43))&gt;0</formula>
    </cfRule>
  </conditionalFormatting>
  <conditionalFormatting sqref="A43">
    <cfRule type="notContainsBlanks" dxfId="0" priority="2">
      <formula>LEN(TRIM(A43))&gt;0</formula>
    </cfRule>
  </conditionalFormatting>
  <dataValidations>
    <dataValidation type="list" allowBlank="1" showErrorMessage="1" sqref="F7:F43">
      <formula1>"Visa,WeChat,VISA"</formula1>
    </dataValidation>
    <dataValidation type="list" allowBlank="1" showErrorMessage="1" sqref="D7:D43">
      <formula1>"CNY,ILS,USD"</formula1>
    </dataValidation>
    <dataValidation type="list" allowBlank="1" showErrorMessage="1" sqref="H7:H43">
      <formula1>"China,Israel"</formula1>
    </dataValidation>
    <dataValidation type="list" allowBlank="1" showErrorMessage="1" sqref="B38:B92">
      <formula1>droplist!$A$2:$A$13</formula1>
    </dataValidation>
  </dataValidations>
  <hyperlinks>
    <hyperlink r:id="rId1" ref="J2"/>
    <hyperlink r:id="rId2" ref="J3"/>
    <hyperlink r:id="rId3" ref="J4"/>
    <hyperlink r:id="rId4" ref="J5"/>
    <hyperlink r:id="rId5" ref="J6"/>
  </hyperlinks>
  <printOptions/>
  <pageMargins bottom="0.75" footer="0.0" header="0.0" left="0.7" right="0.7" top="0.75"/>
  <pageSetup orientation="landscape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 ht="15.0" customHeight="1">
      <c r="A1" s="216" t="s">
        <v>85</v>
      </c>
    </row>
    <row r="2" ht="15.0" customHeight="1">
      <c r="A2" s="218" t="s">
        <v>14</v>
      </c>
    </row>
    <row r="3" ht="15.0" customHeight="1">
      <c r="A3" s="218" t="s">
        <v>15</v>
      </c>
    </row>
    <row r="4" ht="15.0" customHeight="1">
      <c r="A4" s="218" t="s">
        <v>16</v>
      </c>
    </row>
    <row r="5" ht="15.0" customHeight="1">
      <c r="A5" s="218" t="s">
        <v>17</v>
      </c>
    </row>
    <row r="6" ht="15.0" customHeight="1">
      <c r="A6" s="218" t="s">
        <v>18</v>
      </c>
    </row>
    <row r="7" ht="15.0" customHeight="1">
      <c r="A7" s="218" t="s">
        <v>19</v>
      </c>
    </row>
    <row r="8" ht="15.0" customHeight="1">
      <c r="A8" s="218" t="s">
        <v>20</v>
      </c>
    </row>
    <row r="9" ht="15.0" customHeight="1">
      <c r="A9" s="218" t="s">
        <v>21</v>
      </c>
    </row>
    <row r="10" ht="15.0" customHeight="1">
      <c r="A10" s="218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